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Downloads\"/>
    </mc:Choice>
  </mc:AlternateContent>
  <xr:revisionPtr revIDLastSave="0" documentId="13_ncr:1_{F8899BF1-532E-4403-B0B9-E66F437C13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Dashboard" sheetId="2" r:id="rId2"/>
    <sheet name="Strategic_Summary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</calcChain>
</file>

<file path=xl/sharedStrings.xml><?xml version="1.0" encoding="utf-8"?>
<sst xmlns="http://schemas.openxmlformats.org/spreadsheetml/2006/main" count="45" uniqueCount="26">
  <si>
    <t>Company</t>
  </si>
  <si>
    <t>estimated_revenue</t>
  </si>
  <si>
    <t>DELL</t>
  </si>
  <si>
    <t>LENOVO</t>
  </si>
  <si>
    <t>HP</t>
  </si>
  <si>
    <t>ASUS</t>
  </si>
  <si>
    <t>ACER</t>
  </si>
  <si>
    <t>TOSHIBA</t>
  </si>
  <si>
    <t>MSI</t>
  </si>
  <si>
    <t>APPLE</t>
  </si>
  <si>
    <t>SAMSUNG</t>
  </si>
  <si>
    <t>RAZER</t>
  </si>
  <si>
    <t>MICROSOFT</t>
  </si>
  <si>
    <t>XIAOMI</t>
  </si>
  <si>
    <t>LG</t>
  </si>
  <si>
    <t>FUJITSU</t>
  </si>
  <si>
    <t>GOOGLE</t>
  </si>
  <si>
    <t>HUAWEI</t>
  </si>
  <si>
    <t>MEDIACOM</t>
  </si>
  <si>
    <t>CHUWI</t>
  </si>
  <si>
    <t>VERO</t>
  </si>
  <si>
    <t>Brand</t>
  </si>
  <si>
    <t>Estimated Revenue</t>
  </si>
  <si>
    <t>High Value %</t>
  </si>
  <si>
    <t>Avg Value Index %</t>
  </si>
  <si>
    <t>estimated_units_sold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</si>
</sst>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Estimated Revenue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8425196850393"/>
          <c:y val="0.18560185185185185"/>
          <c:w val="0.7483490813648293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estimated_revenue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DELL</c:v>
                </c:pt>
                <c:pt idx="1">
                  <c:v>LENOVO</c:v>
                </c:pt>
                <c:pt idx="2">
                  <c:v>HP</c:v>
                </c:pt>
                <c:pt idx="3">
                  <c:v>ASUS</c:v>
                </c:pt>
                <c:pt idx="4">
                  <c:v>ACER</c:v>
                </c:pt>
                <c:pt idx="5">
                  <c:v>TOSHIBA</c:v>
                </c:pt>
                <c:pt idx="6">
                  <c:v>MSI</c:v>
                </c:pt>
                <c:pt idx="7">
                  <c:v>APPLE</c:v>
                </c:pt>
                <c:pt idx="8">
                  <c:v>SAMSUNG</c:v>
                </c:pt>
                <c:pt idx="9">
                  <c:v>RAZER</c:v>
                </c:pt>
                <c:pt idx="10">
                  <c:v>MICROSOFT</c:v>
                </c:pt>
                <c:pt idx="11">
                  <c:v>XIAOMI</c:v>
                </c:pt>
                <c:pt idx="12">
                  <c:v>LG</c:v>
                </c:pt>
                <c:pt idx="13">
                  <c:v>FUJITSU</c:v>
                </c:pt>
                <c:pt idx="14">
                  <c:v>GOOGLE</c:v>
                </c:pt>
                <c:pt idx="15">
                  <c:v>HUAWEI</c:v>
                </c:pt>
                <c:pt idx="16">
                  <c:v>MEDIACOM</c:v>
                </c:pt>
                <c:pt idx="17">
                  <c:v>CHUWI</c:v>
                </c:pt>
                <c:pt idx="18">
                  <c:v>VERO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134289175.3344</c:v>
                </c:pt>
                <c:pt idx="1">
                  <c:v>122218997.8608</c:v>
                </c:pt>
                <c:pt idx="2">
                  <c:v>93536773.329600006</c:v>
                </c:pt>
                <c:pt idx="3">
                  <c:v>66119835.844800003</c:v>
                </c:pt>
                <c:pt idx="4">
                  <c:v>35387824.2192</c:v>
                </c:pt>
                <c:pt idx="5">
                  <c:v>23699157.120000001</c:v>
                </c:pt>
                <c:pt idx="6">
                  <c:v>23137373.332800001</c:v>
                </c:pt>
                <c:pt idx="7">
                  <c:v>9405530.1216000002</c:v>
                </c:pt>
                <c:pt idx="8">
                  <c:v>4776552</c:v>
                </c:pt>
                <c:pt idx="9">
                  <c:v>4085297.28</c:v>
                </c:pt>
                <c:pt idx="10">
                  <c:v>3572208.216</c:v>
                </c:pt>
                <c:pt idx="11">
                  <c:v>2177899.92</c:v>
                </c:pt>
                <c:pt idx="12">
                  <c:v>2103547.6800000002</c:v>
                </c:pt>
                <c:pt idx="13">
                  <c:v>1657913.76</c:v>
                </c:pt>
                <c:pt idx="14">
                  <c:v>1559718.72</c:v>
                </c:pt>
                <c:pt idx="15">
                  <c:v>1293798.24</c:v>
                </c:pt>
                <c:pt idx="16">
                  <c:v>796749.12</c:v>
                </c:pt>
                <c:pt idx="17">
                  <c:v>356443.7328</c:v>
                </c:pt>
                <c:pt idx="18">
                  <c:v>218927.52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9A7-A3FA-EA37D447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535727"/>
        <c:axId val="1343534767"/>
      </c:barChart>
      <c:catAx>
        <c:axId val="134353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4767"/>
        <c:crosses val="autoZero"/>
        <c:auto val="1"/>
        <c:lblAlgn val="ctr"/>
        <c:lblOffset val="100"/>
        <c:noMultiLvlLbl val="0"/>
      </c:catAx>
      <c:valAx>
        <c:axId val="134353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129540</xdr:rowOff>
    </xdr:from>
    <xdr:to>
      <xdr:col>8</xdr:col>
      <xdr:colOff>297180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C31D5-7D33-429C-8051-04E2E39F8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war\Python\2.O\Project\Laptop%20ANALYSIS\05_Business_Analysis\VALUE_INDEX_DESIGN\Value_Index_Output.xlsx" TargetMode="External"/><Relationship Id="rId1" Type="http://schemas.openxmlformats.org/officeDocument/2006/relationships/externalLinkPath" Target="/Users/pawar/Python/2.O/Project/Laptop%20ANALYSIS/05_Business_Analysis/VALUE_INDEX_DESIGN/Value_Index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Average Of Value_Index"/>
    </sheetNames>
    <sheetDataSet>
      <sheetData sheetId="0" refreshError="1"/>
      <sheetData sheetId="1">
        <row r="4">
          <cell r="A4" t="str">
            <v>Row Labels</v>
          </cell>
          <cell r="C4" t="str">
            <v>High Value</v>
          </cell>
        </row>
        <row r="5">
          <cell r="A5" t="str">
            <v>ACER</v>
          </cell>
          <cell r="C5">
            <v>0.63095238095238093</v>
          </cell>
        </row>
        <row r="6">
          <cell r="A6" t="str">
            <v>APPLE</v>
          </cell>
          <cell r="C6">
            <v>0</v>
          </cell>
        </row>
        <row r="7">
          <cell r="A7" t="str">
            <v>ASUS</v>
          </cell>
          <cell r="C7">
            <v>0.26984126984126983</v>
          </cell>
        </row>
        <row r="8">
          <cell r="A8" t="str">
            <v>CHUWI</v>
          </cell>
          <cell r="C8">
            <v>0</v>
          </cell>
        </row>
        <row r="9">
          <cell r="A9" t="str">
            <v>DELL</v>
          </cell>
          <cell r="C9">
            <v>0.34177215189873417</v>
          </cell>
        </row>
        <row r="10">
          <cell r="A10" t="str">
            <v>FUJITSU</v>
          </cell>
          <cell r="C10">
            <v>1</v>
          </cell>
        </row>
        <row r="11">
          <cell r="A11" t="str">
            <v>GOOGLE</v>
          </cell>
          <cell r="C11">
            <v>0</v>
          </cell>
        </row>
        <row r="12">
          <cell r="A12" t="str">
            <v>HP</v>
          </cell>
          <cell r="C12">
            <v>0.31891891891891894</v>
          </cell>
        </row>
        <row r="13">
          <cell r="A13" t="str">
            <v>HUAWEI</v>
          </cell>
          <cell r="C13">
            <v>0</v>
          </cell>
        </row>
        <row r="14">
          <cell r="A14" t="str">
            <v>LENOVO</v>
          </cell>
          <cell r="C14">
            <v>0.40869565217391307</v>
          </cell>
        </row>
        <row r="15">
          <cell r="A15" t="str">
            <v>LG</v>
          </cell>
          <cell r="C15">
            <v>0</v>
          </cell>
        </row>
        <row r="16">
          <cell r="A16" t="str">
            <v>MEDIACOM</v>
          </cell>
          <cell r="C16">
            <v>0</v>
          </cell>
        </row>
        <row r="17">
          <cell r="A17" t="str">
            <v>MICROSOFT</v>
          </cell>
          <cell r="C17">
            <v>0</v>
          </cell>
        </row>
        <row r="18">
          <cell r="A18" t="str">
            <v>MSI</v>
          </cell>
          <cell r="C18">
            <v>0</v>
          </cell>
        </row>
        <row r="19">
          <cell r="A19" t="str">
            <v>RAZER</v>
          </cell>
          <cell r="C19">
            <v>0</v>
          </cell>
        </row>
        <row r="20">
          <cell r="A20" t="str">
            <v>SAMSUNG</v>
          </cell>
          <cell r="C20">
            <v>0</v>
          </cell>
        </row>
        <row r="21">
          <cell r="A21" t="str">
            <v>TOSHIBA</v>
          </cell>
          <cell r="C21">
            <v>0.24390243902439024</v>
          </cell>
        </row>
        <row r="22">
          <cell r="A22" t="str">
            <v>VERO</v>
          </cell>
          <cell r="C22">
            <v>0</v>
          </cell>
        </row>
        <row r="23">
          <cell r="A23" t="str">
            <v>XIAOMI</v>
          </cell>
          <cell r="C23">
            <v>0</v>
          </cell>
        </row>
      </sheetData>
      <sheetData sheetId="2">
        <row r="4">
          <cell r="K4" t="str">
            <v>ACER</v>
          </cell>
          <cell r="L4">
            <v>1.2854469285388336E-5</v>
          </cell>
        </row>
        <row r="5">
          <cell r="K5" t="str">
            <v>APPLE</v>
          </cell>
          <cell r="L5">
            <v>6.6001255115632706E-6</v>
          </cell>
        </row>
        <row r="6">
          <cell r="K6" t="str">
            <v>ASUS</v>
          </cell>
          <cell r="L6">
            <v>1.0005178789982925E-5</v>
          </cell>
        </row>
        <row r="7">
          <cell r="K7" t="str">
            <v>CHUWI</v>
          </cell>
          <cell r="L7">
            <v>7.5078148156872635E-6</v>
          </cell>
        </row>
        <row r="8">
          <cell r="K8" t="str">
            <v>DELL</v>
          </cell>
          <cell r="L8">
            <v>1.0254308845521644E-5</v>
          </cell>
        </row>
        <row r="9">
          <cell r="K9" t="str">
            <v>FUJITSU</v>
          </cell>
          <cell r="L9">
            <v>1.4185012237190123E-5</v>
          </cell>
        </row>
        <row r="10">
          <cell r="K10" t="str">
            <v>GOOGLE</v>
          </cell>
          <cell r="L10">
            <v>5.9167123645806944E-6</v>
          </cell>
        </row>
        <row r="11">
          <cell r="K11" t="str">
            <v>HP</v>
          </cell>
          <cell r="L11">
            <v>1.0823484083047637E-5</v>
          </cell>
        </row>
        <row r="12">
          <cell r="K12" t="str">
            <v>HUAWEI</v>
          </cell>
          <cell r="L12">
            <v>8.2501467088350072E-6</v>
          </cell>
        </row>
        <row r="13">
          <cell r="K13" t="str">
            <v>LENOVO</v>
          </cell>
          <cell r="L13">
            <v>1.100615033970877E-5</v>
          </cell>
        </row>
        <row r="14">
          <cell r="K14" t="str">
            <v>LG</v>
          </cell>
          <cell r="L14">
            <v>6.0943402185856854E-6</v>
          </cell>
        </row>
        <row r="15">
          <cell r="K15" t="str">
            <v>MEDIACOM</v>
          </cell>
          <cell r="L15">
            <v>7.4075191284082713E-6</v>
          </cell>
        </row>
        <row r="16">
          <cell r="K16" t="str">
            <v>MICROSOFT</v>
          </cell>
          <cell r="L16">
            <v>7.3443960663589584E-6</v>
          </cell>
        </row>
        <row r="17">
          <cell r="K17" t="str">
            <v>MSI</v>
          </cell>
          <cell r="L17">
            <v>7.7388784085534667E-6</v>
          </cell>
        </row>
        <row r="18">
          <cell r="K18" t="str">
            <v>RAZER</v>
          </cell>
          <cell r="L18">
            <v>4.6851721423163401E-6</v>
          </cell>
        </row>
        <row r="19">
          <cell r="K19" t="str">
            <v>SAMSUNG</v>
          </cell>
          <cell r="L19">
            <v>7.6116161872977326E-6</v>
          </cell>
        </row>
        <row r="20">
          <cell r="K20" t="str">
            <v>TOSHIBA</v>
          </cell>
          <cell r="L20">
            <v>9.8207861537168094E-6</v>
          </cell>
        </row>
        <row r="21">
          <cell r="K21" t="str">
            <v>VERO</v>
          </cell>
          <cell r="L21">
            <v>9.332440640967004E-6</v>
          </cell>
        </row>
        <row r="22">
          <cell r="K22" t="str">
            <v>XIAOMI</v>
          </cell>
          <cell r="L22">
            <v>9.3789424152813423E-6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15" sqref="G15"/>
    </sheetView>
  </sheetViews>
  <sheetFormatPr defaultRowHeight="14.4" x14ac:dyDescent="0.3"/>
  <cols>
    <col min="2" max="2" width="17.44140625" bestFit="1" customWidth="1"/>
    <col min="3" max="3" width="19.109375" bestFit="1" customWidth="1"/>
  </cols>
  <sheetData>
    <row r="1" spans="1:3" x14ac:dyDescent="0.3">
      <c r="A1" s="1" t="s">
        <v>0</v>
      </c>
      <c r="B1" s="1" t="s">
        <v>1</v>
      </c>
      <c r="C1" s="1" t="s">
        <v>25</v>
      </c>
    </row>
    <row r="2" spans="1:3" x14ac:dyDescent="0.3">
      <c r="A2" s="1" t="s">
        <v>2</v>
      </c>
      <c r="B2">
        <v>134289175.3344</v>
      </c>
      <c r="C2">
        <v>84</v>
      </c>
    </row>
    <row r="3" spans="1:3" x14ac:dyDescent="0.3">
      <c r="A3" s="1" t="s">
        <v>3</v>
      </c>
      <c r="B3">
        <v>122218997.8608</v>
      </c>
      <c r="C3">
        <v>17</v>
      </c>
    </row>
    <row r="4" spans="1:3" x14ac:dyDescent="0.3">
      <c r="A4" s="1" t="s">
        <v>4</v>
      </c>
      <c r="B4">
        <v>93536773.329600006</v>
      </c>
      <c r="C4">
        <v>126</v>
      </c>
    </row>
    <row r="5" spans="1:3" x14ac:dyDescent="0.3">
      <c r="A5" s="1" t="s">
        <v>5</v>
      </c>
      <c r="B5">
        <v>66119835.844800003</v>
      </c>
      <c r="C5">
        <v>3</v>
      </c>
    </row>
    <row r="6" spans="1:3" x14ac:dyDescent="0.3">
      <c r="A6" s="1" t="s">
        <v>6</v>
      </c>
      <c r="B6">
        <v>35387824.2192</v>
      </c>
      <c r="C6">
        <v>237</v>
      </c>
    </row>
    <row r="7" spans="1:3" x14ac:dyDescent="0.3">
      <c r="A7" s="1" t="s">
        <v>7</v>
      </c>
      <c r="B7">
        <v>23699157.120000001</v>
      </c>
      <c r="C7">
        <v>3</v>
      </c>
    </row>
    <row r="8" spans="1:3" x14ac:dyDescent="0.3">
      <c r="A8" s="1" t="s">
        <v>8</v>
      </c>
      <c r="B8">
        <v>23137373.332800001</v>
      </c>
      <c r="C8">
        <v>3</v>
      </c>
    </row>
    <row r="9" spans="1:3" x14ac:dyDescent="0.3">
      <c r="A9" s="1" t="s">
        <v>9</v>
      </c>
      <c r="B9">
        <v>9405530.1216000002</v>
      </c>
      <c r="C9">
        <v>185</v>
      </c>
    </row>
    <row r="10" spans="1:3" x14ac:dyDescent="0.3">
      <c r="A10" s="1" t="s">
        <v>10</v>
      </c>
      <c r="B10">
        <v>4776552</v>
      </c>
      <c r="C10">
        <v>2</v>
      </c>
    </row>
    <row r="11" spans="1:3" x14ac:dyDescent="0.3">
      <c r="A11" s="1" t="s">
        <v>11</v>
      </c>
      <c r="B11">
        <v>4085297.28</v>
      </c>
      <c r="C11">
        <v>230</v>
      </c>
    </row>
    <row r="12" spans="1:3" x14ac:dyDescent="0.3">
      <c r="A12" s="1" t="s">
        <v>12</v>
      </c>
      <c r="B12">
        <v>3572208.216</v>
      </c>
      <c r="C12">
        <v>3</v>
      </c>
    </row>
    <row r="13" spans="1:3" x14ac:dyDescent="0.3">
      <c r="A13" s="1" t="s">
        <v>13</v>
      </c>
      <c r="B13">
        <v>2177899.92</v>
      </c>
      <c r="C13">
        <v>7</v>
      </c>
    </row>
    <row r="14" spans="1:3" x14ac:dyDescent="0.3">
      <c r="A14" s="1" t="s">
        <v>14</v>
      </c>
      <c r="B14">
        <v>2103547.6800000002</v>
      </c>
      <c r="C14">
        <v>6</v>
      </c>
    </row>
    <row r="15" spans="1:3" x14ac:dyDescent="0.3">
      <c r="A15" s="1" t="s">
        <v>15</v>
      </c>
      <c r="B15">
        <v>1657913.76</v>
      </c>
      <c r="C15">
        <v>34</v>
      </c>
    </row>
    <row r="16" spans="1:3" x14ac:dyDescent="0.3">
      <c r="A16" s="1" t="s">
        <v>16</v>
      </c>
      <c r="B16">
        <v>1559718.72</v>
      </c>
      <c r="C16">
        <v>5</v>
      </c>
    </row>
    <row r="17" spans="1:3" x14ac:dyDescent="0.3">
      <c r="A17" s="1" t="s">
        <v>17</v>
      </c>
      <c r="B17">
        <v>1293798.24</v>
      </c>
      <c r="C17">
        <v>8</v>
      </c>
    </row>
    <row r="18" spans="1:3" x14ac:dyDescent="0.3">
      <c r="A18" s="1" t="s">
        <v>18</v>
      </c>
      <c r="B18">
        <v>796749.12</v>
      </c>
      <c r="C18">
        <v>41</v>
      </c>
    </row>
    <row r="19" spans="1:3" x14ac:dyDescent="0.3">
      <c r="A19" s="1" t="s">
        <v>19</v>
      </c>
      <c r="B19">
        <v>356443.7328</v>
      </c>
      <c r="C19">
        <v>2</v>
      </c>
    </row>
    <row r="20" spans="1:3" x14ac:dyDescent="0.3">
      <c r="A20" s="1" t="s">
        <v>20</v>
      </c>
      <c r="B20">
        <v>218927.52</v>
      </c>
      <c r="C2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4F94-87BC-427B-9898-F34F3392BA0F}">
  <dimension ref="A1"/>
  <sheetViews>
    <sheetView showGridLines="0" workbookViewId="0">
      <selection activeCell="K12" sqref="K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E5B0-29C0-4964-9795-B85188D553CB}">
  <dimension ref="B5:E24"/>
  <sheetViews>
    <sheetView workbookViewId="0">
      <selection activeCell="E7" sqref="E7"/>
    </sheetView>
  </sheetViews>
  <sheetFormatPr defaultRowHeight="14.4" x14ac:dyDescent="0.3"/>
  <cols>
    <col min="2" max="2" width="19.33203125" customWidth="1"/>
    <col min="3" max="3" width="12.33203125" customWidth="1"/>
    <col min="4" max="4" width="15.77734375" bestFit="1" customWidth="1"/>
    <col min="5" max="5" width="16.6640625" bestFit="1" customWidth="1"/>
  </cols>
  <sheetData>
    <row r="5" spans="2:5" x14ac:dyDescent="0.3">
      <c r="B5" t="s">
        <v>21</v>
      </c>
      <c r="C5" t="s">
        <v>23</v>
      </c>
      <c r="D5" t="s">
        <v>24</v>
      </c>
      <c r="E5" t="s">
        <v>22</v>
      </c>
    </row>
    <row r="6" spans="2:5" x14ac:dyDescent="0.3">
      <c r="B6" t="s">
        <v>6</v>
      </c>
      <c r="C6" s="2">
        <f>_xlfn.XLOOKUP(B6,[1]Dashboard!$A$4:$A$23,[1]Dashboard!$C$4:$C$23)</f>
        <v>0.63095238095238093</v>
      </c>
      <c r="D6">
        <f>_xlfn.XLOOKUP(B6,'[1]Average Of Value_Index'!$K$4:$K$22,'[1]Average Of Value_Index'!$L$4:$L$22)</f>
        <v>1.2854469285388336E-5</v>
      </c>
      <c r="E6">
        <f>_xlfn.XLOOKUP(B6,Sheet1!$A$2:$A$20,Sheet1!$B$2:$B$20)</f>
        <v>35387824.2192</v>
      </c>
    </row>
    <row r="7" spans="2:5" x14ac:dyDescent="0.3">
      <c r="B7" t="s">
        <v>9</v>
      </c>
      <c r="C7" s="2">
        <f>_xlfn.XLOOKUP(B7,[1]Dashboard!$A$4:$A$23,[1]Dashboard!$C$4:$C$23)</f>
        <v>0</v>
      </c>
      <c r="D7">
        <f>_xlfn.XLOOKUP(B7,'[1]Average Of Value_Index'!$K$4:$K$22,'[1]Average Of Value_Index'!$L$4:$L$22)</f>
        <v>6.6001255115632706E-6</v>
      </c>
      <c r="E7">
        <f>_xlfn.XLOOKUP(B7,Sheet1!$A$2:$A$20,Sheet1!$B$2:$B$20)</f>
        <v>9405530.1216000002</v>
      </c>
    </row>
    <row r="8" spans="2:5" x14ac:dyDescent="0.3">
      <c r="B8" t="s">
        <v>5</v>
      </c>
      <c r="C8" s="2">
        <f>_xlfn.XLOOKUP(B8,[1]Dashboard!$A$4:$A$23,[1]Dashboard!$C$4:$C$23)</f>
        <v>0.26984126984126983</v>
      </c>
      <c r="D8">
        <f>_xlfn.XLOOKUP(B8,'[1]Average Of Value_Index'!$K$4:$K$22,'[1]Average Of Value_Index'!$L$4:$L$22)</f>
        <v>1.0005178789982925E-5</v>
      </c>
      <c r="E8">
        <f>_xlfn.XLOOKUP(B8,Sheet1!$A$2:$A$20,Sheet1!$B$2:$B$20)</f>
        <v>66119835.844800003</v>
      </c>
    </row>
    <row r="9" spans="2:5" x14ac:dyDescent="0.3">
      <c r="B9" t="s">
        <v>19</v>
      </c>
      <c r="C9" s="2">
        <f>_xlfn.XLOOKUP(B9,[1]Dashboard!$A$4:$A$23,[1]Dashboard!$C$4:$C$23)</f>
        <v>0</v>
      </c>
      <c r="D9">
        <f>_xlfn.XLOOKUP(B9,'[1]Average Of Value_Index'!$K$4:$K$22,'[1]Average Of Value_Index'!$L$4:$L$22)</f>
        <v>7.5078148156872635E-6</v>
      </c>
      <c r="E9">
        <f>_xlfn.XLOOKUP(B9,Sheet1!$A$2:$A$20,Sheet1!$B$2:$B$20)</f>
        <v>356443.7328</v>
      </c>
    </row>
    <row r="10" spans="2:5" x14ac:dyDescent="0.3">
      <c r="B10" t="s">
        <v>2</v>
      </c>
      <c r="C10" s="2">
        <f>_xlfn.XLOOKUP(B10,[1]Dashboard!$A$4:$A$23,[1]Dashboard!$C$4:$C$23)</f>
        <v>0.34177215189873417</v>
      </c>
      <c r="D10">
        <f>_xlfn.XLOOKUP(B10,'[1]Average Of Value_Index'!$K$4:$K$22,'[1]Average Of Value_Index'!$L$4:$L$22)</f>
        <v>1.0254308845521644E-5</v>
      </c>
      <c r="E10">
        <f>_xlfn.XLOOKUP(B10,Sheet1!$A$2:$A$20,Sheet1!$B$2:$B$20)</f>
        <v>134289175.3344</v>
      </c>
    </row>
    <row r="11" spans="2:5" x14ac:dyDescent="0.3">
      <c r="B11" t="s">
        <v>15</v>
      </c>
      <c r="C11" s="2">
        <f>_xlfn.XLOOKUP(B11,[1]Dashboard!$A$4:$A$23,[1]Dashboard!$C$4:$C$23)</f>
        <v>1</v>
      </c>
      <c r="D11">
        <f>_xlfn.XLOOKUP(B11,'[1]Average Of Value_Index'!$K$4:$K$22,'[1]Average Of Value_Index'!$L$4:$L$22)</f>
        <v>1.4185012237190123E-5</v>
      </c>
      <c r="E11">
        <f>_xlfn.XLOOKUP(B11,Sheet1!$A$2:$A$20,Sheet1!$B$2:$B$20)</f>
        <v>1657913.76</v>
      </c>
    </row>
    <row r="12" spans="2:5" x14ac:dyDescent="0.3">
      <c r="B12" t="s">
        <v>16</v>
      </c>
      <c r="C12" s="2">
        <f>_xlfn.XLOOKUP(B12,[1]Dashboard!$A$4:$A$23,[1]Dashboard!$C$4:$C$23)</f>
        <v>0</v>
      </c>
      <c r="D12">
        <f>_xlfn.XLOOKUP(B12,'[1]Average Of Value_Index'!$K$4:$K$22,'[1]Average Of Value_Index'!$L$4:$L$22)</f>
        <v>5.9167123645806944E-6</v>
      </c>
      <c r="E12">
        <f>_xlfn.XLOOKUP(B12,Sheet1!$A$2:$A$20,Sheet1!$B$2:$B$20)</f>
        <v>1559718.72</v>
      </c>
    </row>
    <row r="13" spans="2:5" x14ac:dyDescent="0.3">
      <c r="B13" t="s">
        <v>4</v>
      </c>
      <c r="C13" s="2">
        <f>_xlfn.XLOOKUP(B13,[1]Dashboard!$A$4:$A$23,[1]Dashboard!$C$4:$C$23)</f>
        <v>0.31891891891891894</v>
      </c>
      <c r="D13">
        <f>_xlfn.XLOOKUP(B13,'[1]Average Of Value_Index'!$K$4:$K$22,'[1]Average Of Value_Index'!$L$4:$L$22)</f>
        <v>1.0823484083047637E-5</v>
      </c>
      <c r="E13">
        <f>_xlfn.XLOOKUP(B13,Sheet1!$A$2:$A$20,Sheet1!$B$2:$B$20)</f>
        <v>93536773.329600006</v>
      </c>
    </row>
    <row r="14" spans="2:5" x14ac:dyDescent="0.3">
      <c r="B14" t="s">
        <v>17</v>
      </c>
      <c r="C14" s="2">
        <f>_xlfn.XLOOKUP(B14,[1]Dashboard!$A$4:$A$23,[1]Dashboard!$C$4:$C$23)</f>
        <v>0</v>
      </c>
      <c r="D14">
        <f>_xlfn.XLOOKUP(B14,'[1]Average Of Value_Index'!$K$4:$K$22,'[1]Average Of Value_Index'!$L$4:$L$22)</f>
        <v>8.2501467088350072E-6</v>
      </c>
      <c r="E14">
        <f>_xlfn.XLOOKUP(B14,Sheet1!$A$2:$A$20,Sheet1!$B$2:$B$20)</f>
        <v>1293798.24</v>
      </c>
    </row>
    <row r="15" spans="2:5" x14ac:dyDescent="0.3">
      <c r="B15" t="s">
        <v>3</v>
      </c>
      <c r="C15" s="2">
        <f>_xlfn.XLOOKUP(B15,[1]Dashboard!$A$4:$A$23,[1]Dashboard!$C$4:$C$23)</f>
        <v>0.40869565217391307</v>
      </c>
      <c r="D15">
        <f>_xlfn.XLOOKUP(B15,'[1]Average Of Value_Index'!$K$4:$K$22,'[1]Average Of Value_Index'!$L$4:$L$22)</f>
        <v>1.100615033970877E-5</v>
      </c>
      <c r="E15">
        <f>_xlfn.XLOOKUP(B15,Sheet1!$A$2:$A$20,Sheet1!$B$2:$B$20)</f>
        <v>122218997.8608</v>
      </c>
    </row>
    <row r="16" spans="2:5" x14ac:dyDescent="0.3">
      <c r="B16" t="s">
        <v>14</v>
      </c>
      <c r="C16" s="2">
        <f>_xlfn.XLOOKUP(B16,[1]Dashboard!$A$4:$A$23,[1]Dashboard!$C$4:$C$23)</f>
        <v>0</v>
      </c>
      <c r="D16">
        <f>_xlfn.XLOOKUP(B16,'[1]Average Of Value_Index'!$K$4:$K$22,'[1]Average Of Value_Index'!$L$4:$L$22)</f>
        <v>6.0943402185856854E-6</v>
      </c>
      <c r="E16">
        <f>_xlfn.XLOOKUP(B16,Sheet1!$A$2:$A$20,Sheet1!$B$2:$B$20)</f>
        <v>2103547.6800000002</v>
      </c>
    </row>
    <row r="17" spans="2:5" x14ac:dyDescent="0.3">
      <c r="B17" t="s">
        <v>18</v>
      </c>
      <c r="C17" s="2">
        <f>_xlfn.XLOOKUP(B17,[1]Dashboard!$A$4:$A$23,[1]Dashboard!$C$4:$C$23)</f>
        <v>0</v>
      </c>
      <c r="D17">
        <f>_xlfn.XLOOKUP(B17,'[1]Average Of Value_Index'!$K$4:$K$22,'[1]Average Of Value_Index'!$L$4:$L$22)</f>
        <v>7.4075191284082713E-6</v>
      </c>
      <c r="E17">
        <f>_xlfn.XLOOKUP(B17,Sheet1!$A$2:$A$20,Sheet1!$B$2:$B$20)</f>
        <v>796749.12</v>
      </c>
    </row>
    <row r="18" spans="2:5" x14ac:dyDescent="0.3">
      <c r="B18" t="s">
        <v>12</v>
      </c>
      <c r="C18" s="2">
        <f>_xlfn.XLOOKUP(B18,[1]Dashboard!$A$4:$A$23,[1]Dashboard!$C$4:$C$23)</f>
        <v>0</v>
      </c>
      <c r="D18">
        <f>_xlfn.XLOOKUP(B18,'[1]Average Of Value_Index'!$K$4:$K$22,'[1]Average Of Value_Index'!$L$4:$L$22)</f>
        <v>7.3443960663589584E-6</v>
      </c>
      <c r="E18">
        <f>_xlfn.XLOOKUP(B18,Sheet1!$A$2:$A$20,Sheet1!$B$2:$B$20)</f>
        <v>3572208.216</v>
      </c>
    </row>
    <row r="19" spans="2:5" x14ac:dyDescent="0.3">
      <c r="B19" t="s">
        <v>8</v>
      </c>
      <c r="C19" s="2">
        <f>_xlfn.XLOOKUP(B19,[1]Dashboard!$A$4:$A$23,[1]Dashboard!$C$4:$C$23)</f>
        <v>0</v>
      </c>
      <c r="D19">
        <f>_xlfn.XLOOKUP(B19,'[1]Average Of Value_Index'!$K$4:$K$22,'[1]Average Of Value_Index'!$L$4:$L$22)</f>
        <v>7.7388784085534667E-6</v>
      </c>
      <c r="E19">
        <f>_xlfn.XLOOKUP(B19,Sheet1!$A$2:$A$20,Sheet1!$B$2:$B$20)</f>
        <v>23137373.332800001</v>
      </c>
    </row>
    <row r="20" spans="2:5" x14ac:dyDescent="0.3">
      <c r="B20" t="s">
        <v>11</v>
      </c>
      <c r="C20" s="2">
        <f>_xlfn.XLOOKUP(B20,[1]Dashboard!$A$4:$A$23,[1]Dashboard!$C$4:$C$23)</f>
        <v>0</v>
      </c>
      <c r="D20">
        <f>_xlfn.XLOOKUP(B20,'[1]Average Of Value_Index'!$K$4:$K$22,'[1]Average Of Value_Index'!$L$4:$L$22)</f>
        <v>4.6851721423163401E-6</v>
      </c>
      <c r="E20">
        <f>_xlfn.XLOOKUP(B20,Sheet1!$A$2:$A$20,Sheet1!$B$2:$B$20)</f>
        <v>4085297.28</v>
      </c>
    </row>
    <row r="21" spans="2:5" x14ac:dyDescent="0.3">
      <c r="B21" t="s">
        <v>10</v>
      </c>
      <c r="C21" s="2">
        <f>_xlfn.XLOOKUP(B21,[1]Dashboard!$A$4:$A$23,[1]Dashboard!$C$4:$C$23)</f>
        <v>0</v>
      </c>
      <c r="D21">
        <f>_xlfn.XLOOKUP(B21,'[1]Average Of Value_Index'!$K$4:$K$22,'[1]Average Of Value_Index'!$L$4:$L$22)</f>
        <v>7.6116161872977326E-6</v>
      </c>
      <c r="E21">
        <f>_xlfn.XLOOKUP(B21,Sheet1!$A$2:$A$20,Sheet1!$B$2:$B$20)</f>
        <v>4776552</v>
      </c>
    </row>
    <row r="22" spans="2:5" x14ac:dyDescent="0.3">
      <c r="B22" t="s">
        <v>7</v>
      </c>
      <c r="C22" s="2">
        <f>_xlfn.XLOOKUP(B22,[1]Dashboard!$A$4:$A$23,[1]Dashboard!$C$4:$C$23)</f>
        <v>0.24390243902439024</v>
      </c>
      <c r="D22">
        <f>_xlfn.XLOOKUP(B22,'[1]Average Of Value_Index'!$K$4:$K$22,'[1]Average Of Value_Index'!$L$4:$L$22)</f>
        <v>9.8207861537168094E-6</v>
      </c>
      <c r="E22">
        <f>_xlfn.XLOOKUP(B22,Sheet1!$A$2:$A$20,Sheet1!$B$2:$B$20)</f>
        <v>23699157.120000001</v>
      </c>
    </row>
    <row r="23" spans="2:5" x14ac:dyDescent="0.3">
      <c r="B23" t="s">
        <v>20</v>
      </c>
      <c r="C23" s="2">
        <f>_xlfn.XLOOKUP(B23,[1]Dashboard!$A$4:$A$23,[1]Dashboard!$C$4:$C$23)</f>
        <v>0</v>
      </c>
      <c r="D23">
        <f>_xlfn.XLOOKUP(B23,'[1]Average Of Value_Index'!$K$4:$K$22,'[1]Average Of Value_Index'!$L$4:$L$22)</f>
        <v>9.332440640967004E-6</v>
      </c>
      <c r="E23">
        <f>_xlfn.XLOOKUP(B23,Sheet1!$A$2:$A$20,Sheet1!$B$2:$B$20)</f>
        <v>218927.52</v>
      </c>
    </row>
    <row r="24" spans="2:5" x14ac:dyDescent="0.3">
      <c r="B24" t="s">
        <v>13</v>
      </c>
      <c r="C24" s="2">
        <f>_xlfn.XLOOKUP(B24,[1]Dashboard!$A$4:$A$23,[1]Dashboard!$C$4:$C$23)</f>
        <v>0</v>
      </c>
      <c r="D24">
        <f>_xlfn.XLOOKUP(B24,'[1]Average Of Value_Index'!$K$4:$K$22,'[1]Average Of Value_Index'!$L$4:$L$22)</f>
        <v>9.3789424152813423E-6</v>
      </c>
      <c r="E24">
        <f>_xlfn.XLOOKUP(B24,Sheet1!$A$2:$A$20,Sheet1!$B$2:$B$20)</f>
        <v>2177899.92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Strategic_Summary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dcterms:created xsi:type="dcterms:W3CDTF">2026-02-26T11:43:54Z</dcterms:created>
  <dcterms:modified xsi:type="dcterms:W3CDTF">2026-02-27T06:32:02Z</dcterms:modified>
</cp:coreProperties>
</file>