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awar\Python\2.O\Project\Laptop ANALYSIS\05_Business_Analysis\Pricing_Strategy_Insights\"/>
    </mc:Choice>
  </mc:AlternateContent>
  <xr:revisionPtr revIDLastSave="0" documentId="13_ncr:1_{95A82002-BB74-4E1F-8F78-74B9E8D0871E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data" sheetId="1" r:id="rId1"/>
    <sheet name="KPI Summary" sheetId="2" r:id="rId2"/>
    <sheet name="Strategic Quadrant Chart" sheetId="4" r:id="rId3"/>
    <sheet name="Executive_Conclusion" sheetId="5" r:id="rId4"/>
  </sheets>
  <externalReferences>
    <externalReference r:id="rId5"/>
  </externalReferences>
  <definedNames>
    <definedName name="pricing_strategy_Table">data!$A$1:$I$20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4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" i="1"/>
  <c r="C5" i="2"/>
  <c r="H28" i="2" s="1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4" i="2"/>
  <c r="G5" i="2"/>
  <c r="G6" i="2"/>
  <c r="G7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4" i="2"/>
  <c r="F28" i="2" s="1"/>
  <c r="C23" i="2" l="1"/>
  <c r="F23" i="2"/>
  <c r="I27" i="2" l="1"/>
  <c r="I28" i="2"/>
  <c r="C27" i="2"/>
  <c r="C28" i="2"/>
</calcChain>
</file>

<file path=xl/sharedStrings.xml><?xml version="1.0" encoding="utf-8"?>
<sst xmlns="http://schemas.openxmlformats.org/spreadsheetml/2006/main" count="105" uniqueCount="69">
  <si>
    <t>Company</t>
  </si>
  <si>
    <t>value_index</t>
  </si>
  <si>
    <t>Price</t>
  </si>
  <si>
    <t>Performance_Score</t>
  </si>
  <si>
    <t>value_rank</t>
  </si>
  <si>
    <t>price_rank</t>
  </si>
  <si>
    <t>pricing_gap</t>
  </si>
  <si>
    <t>pricing_strategy</t>
  </si>
  <si>
    <t>ACER</t>
  </si>
  <si>
    <t>Underpriced - Can Increase Price</t>
  </si>
  <si>
    <t>APPLE</t>
  </si>
  <si>
    <t>Premium - Brand Power Strategy</t>
  </si>
  <si>
    <t>ASUS</t>
  </si>
  <si>
    <t>Needs Repositioning</t>
  </si>
  <si>
    <t>CHUWI</t>
  </si>
  <si>
    <t>DELL</t>
  </si>
  <si>
    <t>FUJITSU</t>
  </si>
  <si>
    <t>GOOGLE</t>
  </si>
  <si>
    <t>HP</t>
  </si>
  <si>
    <t>HUAWEI</t>
  </si>
  <si>
    <t>LENOVO</t>
  </si>
  <si>
    <t>LG</t>
  </si>
  <si>
    <t>MEDIACOM</t>
  </si>
  <si>
    <t>MICROSOFT</t>
  </si>
  <si>
    <t>MSI</t>
  </si>
  <si>
    <t>RAZER</t>
  </si>
  <si>
    <t>SAMSUNG</t>
  </si>
  <si>
    <t>TOSHIBA</t>
  </si>
  <si>
    <t>VERO</t>
  </si>
  <si>
    <t>XIAOMI</t>
  </si>
  <si>
    <t>Avg Price</t>
  </si>
  <si>
    <t>Estimated Revenue</t>
  </si>
  <si>
    <t>Brand</t>
  </si>
  <si>
    <t>High Value %</t>
  </si>
  <si>
    <t>Strategy Recommendation</t>
  </si>
  <si>
    <t>Revenue Dominant — Portfolio Strength Strategy</t>
  </si>
  <si>
    <t>Value Efficiency Index (Scaled)</t>
  </si>
  <si>
    <t>Average</t>
  </si>
  <si>
    <t>X(Price)</t>
  </si>
  <si>
    <t>Y(Revenue)</t>
  </si>
  <si>
    <t xml:space="preserve">X (Price) </t>
  </si>
  <si>
    <t xml:space="preserve">       Y (Revenue)</t>
  </si>
  <si>
    <t>Final Pricing Strategy Conclusion</t>
  </si>
  <si>
    <t>Dell dominates total revenue primarily through portfolio breadth and brand strength rather than leading in pure value efficiency.</t>
  </si>
  <si>
    <t xml:space="preserve"> Its balanced positioning enables sustained revenue leadership without relying on aggressive price reductions.</t>
  </si>
  <si>
    <t xml:space="preserve">Lenovo combines strong value efficiency with high revenue performance, positioning it as a balanced competitive leader. </t>
  </si>
  <si>
    <t>The brand demonstrates effective alignment between pricing and performance, indicating strategic stability.</t>
  </si>
  <si>
    <t>Fujitsu exhibits the highest value efficiency index yet captures comparatively low revenue.</t>
  </si>
  <si>
    <t xml:space="preserve">This suggests an under-monetized opportunity, where selective price increases or enhanced marketing investment could unlock </t>
  </si>
  <si>
    <t>higher revenue potential without compromising competitiveness.</t>
  </si>
  <si>
    <t>Both brands show strong value positioning relative to price.</t>
  </si>
  <si>
    <t>There is potential for moderate price optimization while maintaining value perception, particularly in performance-sensitive segments.</t>
  </si>
  <si>
    <t>These brands operate under a premium pricing model.</t>
  </si>
  <si>
    <t>Despite lower value efficiency scores, revenue generation indicates strong brand-driven pricing power.</t>
  </si>
  <si>
    <t>Their strategy reflects brand equity rather than price-performance competitiveness.</t>
  </si>
  <si>
    <t>5. Apple, LG, Razer &amp; MSI</t>
  </si>
  <si>
    <t>Several brands with minimal or zero High Value presence require strategic repositioning. Recommended actions include:</t>
  </si>
  <si>
    <t>Hardware differentiation (RAM/SSD upgrades)</t>
  </si>
  <si>
    <t xml:space="preserve">Targeted price correction
</t>
  </si>
  <si>
    <t>Clearer value communication</t>
  </si>
  <si>
    <t>Market Insight</t>
  </si>
  <si>
    <t>The market is not purely value-driven.</t>
  </si>
  <si>
    <t>Revenue leadership is influenced by brand strength, portfolio diversity, and pricing architecture rather than value efficiency alone.</t>
  </si>
  <si>
    <t>Selective optimization — not industry-wide discounting — is the recommended approach.</t>
  </si>
  <si>
    <t>1. Dell</t>
  </si>
  <si>
    <t>2. Lenovo</t>
  </si>
  <si>
    <t>3.  Fujitsu</t>
  </si>
  <si>
    <t>4. Acer &amp; HP</t>
  </si>
  <si>
    <t>6. Repositioning Required Brands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</si>
</sst>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₹&quot;\ 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/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  <border>
      <left style="medium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medium">
        <color theme="1"/>
      </right>
      <top/>
      <bottom style="medium">
        <color theme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10" fontId="0" fillId="0" borderId="0" xfId="0" applyNumberFormat="1"/>
    <xf numFmtId="169" fontId="0" fillId="0" borderId="0" xfId="0" applyNumberForma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0" fillId="0" borderId="2" xfId="0" applyBorder="1"/>
    <xf numFmtId="0" fontId="0" fillId="0" borderId="0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center" vertical="top"/>
    </xf>
    <xf numFmtId="0" fontId="0" fillId="0" borderId="4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3" fillId="0" borderId="17" xfId="0" applyFont="1" applyBorder="1" applyAlignment="1">
      <alignment horizontal="center" vertical="top"/>
    </xf>
    <xf numFmtId="0" fontId="3" fillId="0" borderId="18" xfId="0" applyFont="1" applyBorder="1" applyAlignment="1">
      <alignment horizontal="center" vertical="top"/>
    </xf>
    <xf numFmtId="0" fontId="3" fillId="0" borderId="19" xfId="0" applyFont="1" applyBorder="1" applyAlignment="1">
      <alignment horizontal="center" vertical="top"/>
    </xf>
    <xf numFmtId="0" fontId="0" fillId="0" borderId="20" xfId="0" applyBorder="1" applyAlignment="1">
      <alignment horizontal="center" vertical="top"/>
    </xf>
    <xf numFmtId="0" fontId="0" fillId="0" borderId="21" xfId="0" applyBorder="1" applyAlignment="1">
      <alignment horizontal="center" vertical="top"/>
    </xf>
    <xf numFmtId="0" fontId="0" fillId="0" borderId="20" xfId="0" applyBorder="1" applyAlignment="1">
      <alignment horizontal="left" vertical="top"/>
    </xf>
    <xf numFmtId="0" fontId="0" fillId="0" borderId="21" xfId="0" applyBorder="1" applyAlignment="1">
      <alignment horizontal="left" vertical="top"/>
    </xf>
    <xf numFmtId="0" fontId="0" fillId="0" borderId="12" xfId="0" applyBorder="1" applyAlignment="1">
      <alignment horizontal="left" vertical="top" wrapText="1"/>
    </xf>
    <xf numFmtId="0" fontId="0" fillId="0" borderId="22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6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Strategic Quadrant Chart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18198928-B7ED-4968-993A-A75C126C06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2C4E-438D-A6C9-D9E3C02DABE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7CAAD04-873A-45A5-A98B-51EFAA3E1D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C4E-438D-A6C9-D9E3C02DABE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85A4296-DEC9-46EB-A51F-29A75856B9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2C4E-438D-A6C9-D9E3C02DABE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E55FFCD-D16C-435F-9D1A-EB50D51DCA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C4E-438D-A6C9-D9E3C02DABE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1ED7D06-15DC-436D-A852-E1F2828DD7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2C4E-438D-A6C9-D9E3C02DABE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A927BC5-43AB-447C-9C19-3CE82FBD61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2C4E-438D-A6C9-D9E3C02DABE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E16771B-305F-4E74-9D23-5DD4D966A0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2C4E-438D-A6C9-D9E3C02DABE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E7191B6-4E19-4895-A092-7EF71C95B9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2C4E-438D-A6C9-D9E3C02DABE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AC8230D-135D-4A35-825D-5F567EB36D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C4E-438D-A6C9-D9E3C02DABE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B4159E9-1195-438A-B0A9-6A4DB592E8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2C4E-438D-A6C9-D9E3C02DABE5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151454B-8554-43C2-9531-CF48DDA7C9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2C4E-438D-A6C9-D9E3C02DABE5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6708B54-62EF-4FC3-8FB5-31D67B55B1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2C4E-438D-A6C9-D9E3C02DABE5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B541192-898E-46B0-9546-2B6C80ABE4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2C4E-438D-A6C9-D9E3C02DABE5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3746CE9-08DF-4774-9FD3-F78932A839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2C4E-438D-A6C9-D9E3C02DABE5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CFD23AB3-EFB2-49DB-94C4-61B383D773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2C4E-438D-A6C9-D9E3C02DABE5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1E7AA1C9-0D8F-491B-BC21-F09D6D2189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2C4E-438D-A6C9-D9E3C02DABE5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0348542-542F-457E-BE8A-CF37A0DCC3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2C4E-438D-A6C9-D9E3C02DABE5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86C98B98-C70A-48D2-950F-F151C76E5D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2C4E-438D-A6C9-D9E3C02DABE5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082C74E4-8E67-4D9D-9870-3D2372F0E8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2C4E-438D-A6C9-D9E3C02DAB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'KPI Summary'!$C$4:$C$22</c:f>
              <c:numCache>
                <c:formatCode>General</c:formatCode>
                <c:ptCount val="19"/>
                <c:pt idx="0">
                  <c:v>33461.812628571417</c:v>
                </c:pt>
                <c:pt idx="1">
                  <c:v>88216.542211764696</c:v>
                </c:pt>
                <c:pt idx="2">
                  <c:v>58022.093371428571</c:v>
                </c:pt>
                <c:pt idx="3">
                  <c:v>16745.7264</c:v>
                </c:pt>
                <c:pt idx="4">
                  <c:v>65963.045468354438</c:v>
                </c:pt>
                <c:pt idx="5">
                  <c:v>38841.120000000003</c:v>
                </c:pt>
                <c:pt idx="6">
                  <c:v>89386.08</c:v>
                </c:pt>
                <c:pt idx="7">
                  <c:v>54775.399680000002</c:v>
                </c:pt>
                <c:pt idx="8">
                  <c:v>75870.720000000001</c:v>
                </c:pt>
                <c:pt idx="9">
                  <c:v>57480.87086608696</c:v>
                </c:pt>
                <c:pt idx="10">
                  <c:v>111834.72</c:v>
                </c:pt>
                <c:pt idx="11">
                  <c:v>15717.6</c:v>
                </c:pt>
                <c:pt idx="12">
                  <c:v>85903.788</c:v>
                </c:pt>
                <c:pt idx="13">
                  <c:v>95357.785976470579</c:v>
                </c:pt>
                <c:pt idx="14">
                  <c:v>201345.12</c:v>
                </c:pt>
                <c:pt idx="15">
                  <c:v>80332.92</c:v>
                </c:pt>
                <c:pt idx="16">
                  <c:v>64967.812682926822</c:v>
                </c:pt>
                <c:pt idx="17">
                  <c:v>12331.656000000001</c:v>
                </c:pt>
                <c:pt idx="18">
                  <c:v>60390.881999999998</c:v>
                </c:pt>
              </c:numCache>
            </c:numRef>
          </c:xVal>
          <c:yVal>
            <c:numRef>
              <c:f>'KPI Summary'!$F$4:$F$22</c:f>
              <c:numCache>
                <c:formatCode>"₹"\ #,##0.00</c:formatCode>
                <c:ptCount val="19"/>
                <c:pt idx="0">
                  <c:v>35387824.2192</c:v>
                </c:pt>
                <c:pt idx="1">
                  <c:v>9405530.1216000002</c:v>
                </c:pt>
                <c:pt idx="2">
                  <c:v>66119835.844800003</c:v>
                </c:pt>
                <c:pt idx="3">
                  <c:v>356443.7328</c:v>
                </c:pt>
                <c:pt idx="4">
                  <c:v>134289175.3344</c:v>
                </c:pt>
                <c:pt idx="5">
                  <c:v>1657913.76</c:v>
                </c:pt>
                <c:pt idx="6">
                  <c:v>1559718.72</c:v>
                </c:pt>
                <c:pt idx="7">
                  <c:v>93536773.329600006</c:v>
                </c:pt>
                <c:pt idx="8">
                  <c:v>1293798.24</c:v>
                </c:pt>
                <c:pt idx="9">
                  <c:v>122218997.8608</c:v>
                </c:pt>
                <c:pt idx="10">
                  <c:v>2103547.6800000002</c:v>
                </c:pt>
                <c:pt idx="11">
                  <c:v>796749.12</c:v>
                </c:pt>
                <c:pt idx="12">
                  <c:v>3572208.216</c:v>
                </c:pt>
                <c:pt idx="13">
                  <c:v>23137373.332800001</c:v>
                </c:pt>
                <c:pt idx="14">
                  <c:v>4085297.28</c:v>
                </c:pt>
                <c:pt idx="15">
                  <c:v>4776552</c:v>
                </c:pt>
                <c:pt idx="16">
                  <c:v>23699157.120000001</c:v>
                </c:pt>
                <c:pt idx="17">
                  <c:v>218927.52</c:v>
                </c:pt>
                <c:pt idx="18">
                  <c:v>2177899.92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'KPI Summary'!$B$4:$B$22</c15:f>
                <c15:dlblRangeCache>
                  <c:ptCount val="19"/>
                  <c:pt idx="0">
                    <c:v>ACER</c:v>
                  </c:pt>
                  <c:pt idx="1">
                    <c:v>APPLE</c:v>
                  </c:pt>
                  <c:pt idx="2">
                    <c:v>ASUS</c:v>
                  </c:pt>
                  <c:pt idx="3">
                    <c:v>CHUWI</c:v>
                  </c:pt>
                  <c:pt idx="4">
                    <c:v>DELL</c:v>
                  </c:pt>
                  <c:pt idx="5">
                    <c:v>FUJITSU</c:v>
                  </c:pt>
                  <c:pt idx="6">
                    <c:v>GOOGLE</c:v>
                  </c:pt>
                  <c:pt idx="7">
                    <c:v>HP</c:v>
                  </c:pt>
                  <c:pt idx="8">
                    <c:v>HUAWEI</c:v>
                  </c:pt>
                  <c:pt idx="9">
                    <c:v>LENOVO</c:v>
                  </c:pt>
                  <c:pt idx="10">
                    <c:v>LG</c:v>
                  </c:pt>
                  <c:pt idx="11">
                    <c:v>MEDIACOM</c:v>
                  </c:pt>
                  <c:pt idx="12">
                    <c:v>MICROSOFT</c:v>
                  </c:pt>
                  <c:pt idx="13">
                    <c:v>MSI</c:v>
                  </c:pt>
                  <c:pt idx="14">
                    <c:v>RAZER</c:v>
                  </c:pt>
                  <c:pt idx="15">
                    <c:v>SAMSUNG</c:v>
                  </c:pt>
                  <c:pt idx="16">
                    <c:v>TOSHIBA</c:v>
                  </c:pt>
                  <c:pt idx="17">
                    <c:v>VERO</c:v>
                  </c:pt>
                  <c:pt idx="18">
                    <c:v>XIAOMI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2C4E-438D-A6C9-D9E3C02DABE5}"/>
            </c:ext>
          </c:extLst>
        </c:ser>
        <c:ser>
          <c:idx val="1"/>
          <c:order val="1"/>
          <c:tx>
            <c:v>Avg Price Line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'KPI Summary'!$C$27:$C$28</c:f>
              <c:numCache>
                <c:formatCode>General</c:formatCode>
                <c:ptCount val="2"/>
                <c:pt idx="0">
                  <c:v>68786.615541347535</c:v>
                </c:pt>
                <c:pt idx="1">
                  <c:v>68786.615541347535</c:v>
                </c:pt>
              </c:numCache>
            </c:numRef>
          </c:xVal>
          <c:yVal>
            <c:numRef>
              <c:f>'KPI Summary'!$F$27:$F$28</c:f>
              <c:numCache>
                <c:formatCode>General</c:formatCode>
                <c:ptCount val="2"/>
                <c:pt idx="0">
                  <c:v>0</c:v>
                </c:pt>
                <c:pt idx="1">
                  <c:v>134289175.3344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4E-438D-A6C9-D9E3C02DABE5}"/>
            </c:ext>
          </c:extLst>
        </c:ser>
        <c:ser>
          <c:idx val="2"/>
          <c:order val="2"/>
          <c:tx>
            <c:v>marker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'KPI Summary'!$H$27:$H$28</c:f>
              <c:numCache>
                <c:formatCode>General</c:formatCode>
                <c:ptCount val="2"/>
                <c:pt idx="0">
                  <c:v>0</c:v>
                </c:pt>
                <c:pt idx="1">
                  <c:v>201345.12</c:v>
                </c:pt>
              </c:numCache>
            </c:numRef>
          </c:xVal>
          <c:yVal>
            <c:numRef>
              <c:f>'KPI Summary'!$I$27:$I$28</c:f>
              <c:numCache>
                <c:formatCode>General</c:formatCode>
                <c:ptCount val="2"/>
                <c:pt idx="0">
                  <c:v>27915459.123789478</c:v>
                </c:pt>
                <c:pt idx="1">
                  <c:v>27915459.123789478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4E-438D-A6C9-D9E3C02DABE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30706976"/>
        <c:axId val="30696896"/>
      </c:scatterChart>
      <c:valAx>
        <c:axId val="3070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96896"/>
        <c:crosses val="autoZero"/>
        <c:crossBetween val="midCat"/>
      </c:valAx>
      <c:valAx>
        <c:axId val="3069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06976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106680</xdr:colOff>
      <xdr:row>2</xdr:row>
      <xdr:rowOff>38100</xdr:rowOff>
    </xdr:from>
    <xdr:to>
      <xdr:col>13</xdr:col>
      <xdr:colOff>236220</xdr:colOff>
      <xdr:row>21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ADDEC8-8EA7-47D6-9D1D-2A192E03D7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awar\Python\2.O\Project\Laptop%20ANALYSIS\05_Business_Analysis\Revenue_Modeling\brand_revenue_simulation.xlsx" TargetMode="External"/><Relationship Id="rId1" Type="http://schemas.openxmlformats.org/officeDocument/2006/relationships/externalLinkPath" Target="/Users/pawar/Python/2.O/Project/Laptop%20ANALYSIS/05_Business_Analysis/Revenue_Modeling/brand_revenue_simu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Dashboard"/>
      <sheetName val="Strategic_Summary"/>
    </sheetNames>
    <sheetDataSet>
      <sheetData sheetId="0">
        <row r="2">
          <cell r="A2" t="str">
            <v>DELL</v>
          </cell>
          <cell r="B2">
            <v>134289175.3344</v>
          </cell>
        </row>
        <row r="3">
          <cell r="A3" t="str">
            <v>LENOVO</v>
          </cell>
          <cell r="B3">
            <v>122218997.8608</v>
          </cell>
        </row>
        <row r="4">
          <cell r="A4" t="str">
            <v>HP</v>
          </cell>
          <cell r="B4">
            <v>93536773.329600006</v>
          </cell>
        </row>
        <row r="5">
          <cell r="A5" t="str">
            <v>ASUS</v>
          </cell>
          <cell r="B5">
            <v>66119835.844800003</v>
          </cell>
        </row>
        <row r="6">
          <cell r="A6" t="str">
            <v>ACER</v>
          </cell>
          <cell r="B6">
            <v>35387824.2192</v>
          </cell>
        </row>
        <row r="7">
          <cell r="A7" t="str">
            <v>TOSHIBA</v>
          </cell>
          <cell r="B7">
            <v>23699157.120000001</v>
          </cell>
        </row>
        <row r="8">
          <cell r="A8" t="str">
            <v>MSI</v>
          </cell>
          <cell r="B8">
            <v>23137373.332800001</v>
          </cell>
        </row>
        <row r="9">
          <cell r="A9" t="str">
            <v>APPLE</v>
          </cell>
          <cell r="B9">
            <v>9405530.1216000002</v>
          </cell>
        </row>
        <row r="10">
          <cell r="A10" t="str">
            <v>SAMSUNG</v>
          </cell>
          <cell r="B10">
            <v>4776552</v>
          </cell>
        </row>
        <row r="11">
          <cell r="A11" t="str">
            <v>RAZER</v>
          </cell>
          <cell r="B11">
            <v>4085297.28</v>
          </cell>
        </row>
        <row r="12">
          <cell r="A12" t="str">
            <v>MICROSOFT</v>
          </cell>
          <cell r="B12">
            <v>3572208.216</v>
          </cell>
        </row>
        <row r="13">
          <cell r="A13" t="str">
            <v>XIAOMI</v>
          </cell>
          <cell r="B13">
            <v>2177899.92</v>
          </cell>
        </row>
        <row r="14">
          <cell r="A14" t="str">
            <v>LG</v>
          </cell>
          <cell r="B14">
            <v>2103547.6800000002</v>
          </cell>
        </row>
        <row r="15">
          <cell r="A15" t="str">
            <v>FUJITSU</v>
          </cell>
          <cell r="B15">
            <v>1657913.76</v>
          </cell>
        </row>
        <row r="16">
          <cell r="A16" t="str">
            <v>GOOGLE</v>
          </cell>
          <cell r="B16">
            <v>1559718.72</v>
          </cell>
        </row>
        <row r="17">
          <cell r="A17" t="str">
            <v>HUAWEI</v>
          </cell>
          <cell r="B17">
            <v>1293798.24</v>
          </cell>
        </row>
        <row r="18">
          <cell r="A18" t="str">
            <v>MEDIACOM</v>
          </cell>
          <cell r="B18">
            <v>796749.12</v>
          </cell>
        </row>
        <row r="19">
          <cell r="A19" t="str">
            <v>CHUWI</v>
          </cell>
          <cell r="B19">
            <v>356443.7328</v>
          </cell>
        </row>
        <row r="20">
          <cell r="A20" t="str">
            <v>VERO</v>
          </cell>
          <cell r="B20">
            <v>218927.52</v>
          </cell>
        </row>
      </sheetData>
      <sheetData sheetId="1" refreshError="1"/>
      <sheetData sheetId="2">
        <row r="6">
          <cell r="B6" t="str">
            <v>ACER</v>
          </cell>
          <cell r="C6">
            <v>0.63095238095238093</v>
          </cell>
        </row>
        <row r="7">
          <cell r="B7" t="str">
            <v>APPLE</v>
          </cell>
          <cell r="C7">
            <v>0</v>
          </cell>
        </row>
        <row r="8">
          <cell r="B8" t="str">
            <v>ASUS</v>
          </cell>
          <cell r="C8">
            <v>0.26984126984126983</v>
          </cell>
        </row>
        <row r="9">
          <cell r="B9" t="str">
            <v>CHUWI</v>
          </cell>
          <cell r="C9">
            <v>0</v>
          </cell>
        </row>
        <row r="10">
          <cell r="B10" t="str">
            <v>DELL</v>
          </cell>
          <cell r="C10">
            <v>0.34177215189873417</v>
          </cell>
        </row>
        <row r="11">
          <cell r="B11" t="str">
            <v>FUJITSU</v>
          </cell>
          <cell r="C11">
            <v>1</v>
          </cell>
        </row>
        <row r="12">
          <cell r="B12" t="str">
            <v>GOOGLE</v>
          </cell>
          <cell r="C12">
            <v>0</v>
          </cell>
        </row>
        <row r="13">
          <cell r="B13" t="str">
            <v>HP</v>
          </cell>
          <cell r="C13">
            <v>0.31891891891891894</v>
          </cell>
        </row>
        <row r="14">
          <cell r="B14" t="str">
            <v>HUAWEI</v>
          </cell>
          <cell r="C14">
            <v>0</v>
          </cell>
        </row>
        <row r="15">
          <cell r="B15" t="str">
            <v>LENOVO</v>
          </cell>
          <cell r="C15">
            <v>0.40869565217391307</v>
          </cell>
        </row>
        <row r="16">
          <cell r="B16" t="str">
            <v>LG</v>
          </cell>
          <cell r="C16">
            <v>0</v>
          </cell>
        </row>
        <row r="17">
          <cell r="B17" t="str">
            <v>MEDIACOM</v>
          </cell>
          <cell r="C17">
            <v>0</v>
          </cell>
        </row>
        <row r="18">
          <cell r="B18" t="str">
            <v>MICROSOFT</v>
          </cell>
          <cell r="C18">
            <v>0</v>
          </cell>
        </row>
        <row r="19">
          <cell r="B19" t="str">
            <v>MSI</v>
          </cell>
          <cell r="C19">
            <v>0</v>
          </cell>
        </row>
        <row r="20">
          <cell r="B20" t="str">
            <v>RAZER</v>
          </cell>
          <cell r="C20">
            <v>0</v>
          </cell>
        </row>
        <row r="21">
          <cell r="B21" t="str">
            <v>SAMSUNG</v>
          </cell>
          <cell r="C21">
            <v>0</v>
          </cell>
        </row>
        <row r="22">
          <cell r="B22" t="str">
            <v>TOSHIBA</v>
          </cell>
          <cell r="C22">
            <v>0.24390243902439024</v>
          </cell>
        </row>
        <row r="23">
          <cell r="B23" t="str">
            <v>VERO</v>
          </cell>
          <cell r="C23">
            <v>0</v>
          </cell>
        </row>
        <row r="24">
          <cell r="B24" t="str">
            <v>XIAOMI</v>
          </cell>
          <cell r="C2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workbookViewId="0">
      <selection activeCell="I6" sqref="I6"/>
    </sheetView>
  </sheetViews>
  <sheetFormatPr defaultRowHeight="14.4" x14ac:dyDescent="0.3"/>
  <cols>
    <col min="2" max="2" width="22.6640625" hidden="1" customWidth="1"/>
    <col min="3" max="3" width="21.77734375" customWidth="1"/>
    <col min="4" max="4" width="12" bestFit="1" customWidth="1"/>
    <col min="5" max="5" width="17.77734375" bestFit="1" customWidth="1"/>
    <col min="6" max="6" width="10.33203125" bestFit="1" customWidth="1"/>
    <col min="7" max="7" width="9.88671875" bestFit="1" customWidth="1"/>
    <col min="8" max="8" width="10.77734375" bestFit="1" customWidth="1"/>
    <col min="9" max="9" width="27.88671875" bestFit="1" customWidth="1"/>
  </cols>
  <sheetData>
    <row r="1" spans="1:9" x14ac:dyDescent="0.3">
      <c r="A1" s="1" t="s">
        <v>0</v>
      </c>
      <c r="B1" s="1" t="s">
        <v>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t="s">
        <v>8</v>
      </c>
      <c r="B2">
        <v>1.285446928538834E-5</v>
      </c>
      <c r="C2">
        <f>ROUND(B2,8)*100000</f>
        <v>1.2850000000000001</v>
      </c>
      <c r="D2">
        <v>33461.812628571417</v>
      </c>
      <c r="E2">
        <v>0.41941344246031742</v>
      </c>
      <c r="F2">
        <v>2</v>
      </c>
      <c r="G2">
        <v>16</v>
      </c>
      <c r="H2">
        <v>14</v>
      </c>
      <c r="I2" t="s">
        <v>9</v>
      </c>
    </row>
    <row r="3" spans="1:9" x14ac:dyDescent="0.3">
      <c r="A3" t="s">
        <v>10</v>
      </c>
      <c r="B3">
        <v>6.6001255115632706E-6</v>
      </c>
      <c r="C3">
        <f t="shared" ref="C3:C20" si="0">ROUND(B3,8)*100000</f>
        <v>0.66</v>
      </c>
      <c r="D3">
        <v>88216.542211764696</v>
      </c>
      <c r="E3">
        <v>0.55769607843137248</v>
      </c>
      <c r="F3">
        <v>16</v>
      </c>
      <c r="G3">
        <v>5</v>
      </c>
      <c r="H3">
        <v>-11</v>
      </c>
      <c r="I3" t="s">
        <v>11</v>
      </c>
    </row>
    <row r="4" spans="1:9" x14ac:dyDescent="0.3">
      <c r="A4" t="s">
        <v>12</v>
      </c>
      <c r="B4">
        <v>1.000517878998293E-5</v>
      </c>
      <c r="C4">
        <f t="shared" si="0"/>
        <v>1.0010000000000001</v>
      </c>
      <c r="D4">
        <v>58022.093371428571</v>
      </c>
      <c r="E4">
        <v>0.52622023809523799</v>
      </c>
      <c r="F4">
        <v>6</v>
      </c>
      <c r="G4">
        <v>12</v>
      </c>
      <c r="H4">
        <v>6</v>
      </c>
      <c r="I4" t="s">
        <v>13</v>
      </c>
    </row>
    <row r="5" spans="1:9" x14ac:dyDescent="0.3">
      <c r="A5" t="s">
        <v>14</v>
      </c>
      <c r="B5">
        <v>7.5078148156872626E-6</v>
      </c>
      <c r="C5">
        <f t="shared" si="0"/>
        <v>0.751</v>
      </c>
      <c r="D5">
        <v>16745.7264</v>
      </c>
      <c r="E5">
        <v>0.1177777777777777</v>
      </c>
      <c r="F5">
        <v>13</v>
      </c>
      <c r="G5">
        <v>17</v>
      </c>
      <c r="H5">
        <v>4</v>
      </c>
      <c r="I5" t="s">
        <v>13</v>
      </c>
    </row>
    <row r="6" spans="1:9" x14ac:dyDescent="0.3">
      <c r="A6" t="s">
        <v>15</v>
      </c>
      <c r="B6">
        <v>1.025430884552164E-5</v>
      </c>
      <c r="C6">
        <f t="shared" si="0"/>
        <v>1.0249999999999999</v>
      </c>
      <c r="D6">
        <v>65963.045468354438</v>
      </c>
      <c r="E6">
        <v>0.56656118143459921</v>
      </c>
      <c r="F6">
        <v>5</v>
      </c>
      <c r="G6">
        <v>9</v>
      </c>
      <c r="H6">
        <v>4</v>
      </c>
      <c r="I6" t="s">
        <v>35</v>
      </c>
    </row>
    <row r="7" spans="1:9" x14ac:dyDescent="0.3">
      <c r="A7" t="s">
        <v>16</v>
      </c>
      <c r="B7">
        <v>1.418501223719012E-5</v>
      </c>
      <c r="C7">
        <f t="shared" si="0"/>
        <v>1.419</v>
      </c>
      <c r="D7">
        <v>38841.120000000003</v>
      </c>
      <c r="E7">
        <v>0.54777777777777781</v>
      </c>
      <c r="F7">
        <v>1</v>
      </c>
      <c r="G7">
        <v>15</v>
      </c>
      <c r="H7">
        <v>14</v>
      </c>
      <c r="I7" t="s">
        <v>9</v>
      </c>
    </row>
    <row r="8" spans="1:9" x14ac:dyDescent="0.3">
      <c r="A8" t="s">
        <v>17</v>
      </c>
      <c r="B8">
        <v>5.9167123645806936E-6</v>
      </c>
      <c r="C8">
        <f t="shared" si="0"/>
        <v>0.59199999999999997</v>
      </c>
      <c r="D8">
        <v>89386.08</v>
      </c>
      <c r="E8">
        <v>0.52027777777777784</v>
      </c>
      <c r="F8">
        <v>18</v>
      </c>
      <c r="G8">
        <v>4</v>
      </c>
      <c r="H8">
        <v>-14</v>
      </c>
      <c r="I8" t="s">
        <v>11</v>
      </c>
    </row>
    <row r="9" spans="1:9" x14ac:dyDescent="0.3">
      <c r="A9" t="s">
        <v>18</v>
      </c>
      <c r="B9">
        <v>1.082348408304763E-5</v>
      </c>
      <c r="C9">
        <f t="shared" si="0"/>
        <v>1.0820000000000001</v>
      </c>
      <c r="D9">
        <v>54775.399680000002</v>
      </c>
      <c r="E9">
        <v>0.5071838400900901</v>
      </c>
      <c r="F9">
        <v>4</v>
      </c>
      <c r="G9">
        <v>14</v>
      </c>
      <c r="H9">
        <v>10</v>
      </c>
      <c r="I9" t="s">
        <v>9</v>
      </c>
    </row>
    <row r="10" spans="1:9" x14ac:dyDescent="0.3">
      <c r="A10" t="s">
        <v>19</v>
      </c>
      <c r="B10">
        <v>8.2501467088350072E-6</v>
      </c>
      <c r="C10">
        <f t="shared" si="0"/>
        <v>0.82500000000000007</v>
      </c>
      <c r="D10">
        <v>75870.720000000001</v>
      </c>
      <c r="E10">
        <v>0.62750000000000006</v>
      </c>
      <c r="F10">
        <v>10</v>
      </c>
      <c r="G10">
        <v>8</v>
      </c>
      <c r="H10">
        <v>-2</v>
      </c>
      <c r="I10" t="s">
        <v>13</v>
      </c>
    </row>
    <row r="11" spans="1:9" x14ac:dyDescent="0.3">
      <c r="A11" t="s">
        <v>20</v>
      </c>
      <c r="B11">
        <v>1.100615033970877E-5</v>
      </c>
      <c r="C11">
        <f t="shared" si="0"/>
        <v>1.101</v>
      </c>
      <c r="D11">
        <v>57480.87086608696</v>
      </c>
      <c r="E11">
        <v>0.52780887681159427</v>
      </c>
      <c r="F11">
        <v>3</v>
      </c>
      <c r="G11">
        <v>13</v>
      </c>
      <c r="H11">
        <v>10</v>
      </c>
      <c r="I11" t="s">
        <v>9</v>
      </c>
    </row>
    <row r="12" spans="1:9" x14ac:dyDescent="0.3">
      <c r="A12" t="s">
        <v>21</v>
      </c>
      <c r="B12">
        <v>6.0943402185856854E-6</v>
      </c>
      <c r="C12">
        <f t="shared" si="0"/>
        <v>0.60899999999999999</v>
      </c>
      <c r="D12">
        <v>111834.72</v>
      </c>
      <c r="E12">
        <v>0.67444444444444451</v>
      </c>
      <c r="F12">
        <v>17</v>
      </c>
      <c r="G12">
        <v>2</v>
      </c>
      <c r="H12">
        <v>-15</v>
      </c>
      <c r="I12" t="s">
        <v>11</v>
      </c>
    </row>
    <row r="13" spans="1:9" x14ac:dyDescent="0.3">
      <c r="A13" t="s">
        <v>22</v>
      </c>
      <c r="B13">
        <v>7.4075191284082713E-6</v>
      </c>
      <c r="C13">
        <f t="shared" si="0"/>
        <v>0.74099999999999999</v>
      </c>
      <c r="D13">
        <v>15717.6</v>
      </c>
      <c r="E13">
        <v>0.1132142857142857</v>
      </c>
      <c r="F13">
        <v>14</v>
      </c>
      <c r="G13">
        <v>18</v>
      </c>
      <c r="H13">
        <v>4</v>
      </c>
      <c r="I13" t="s">
        <v>13</v>
      </c>
    </row>
    <row r="14" spans="1:9" x14ac:dyDescent="0.3">
      <c r="A14" t="s">
        <v>23</v>
      </c>
      <c r="B14">
        <v>7.3443960663589593E-6</v>
      </c>
      <c r="C14">
        <f t="shared" si="0"/>
        <v>0.73399999999999999</v>
      </c>
      <c r="D14">
        <v>85903.788</v>
      </c>
      <c r="E14">
        <v>0.59833333333333327</v>
      </c>
      <c r="F14">
        <v>15</v>
      </c>
      <c r="G14">
        <v>6</v>
      </c>
      <c r="H14">
        <v>-9</v>
      </c>
      <c r="I14" t="s">
        <v>13</v>
      </c>
    </row>
    <row r="15" spans="1:9" x14ac:dyDescent="0.3">
      <c r="A15" t="s">
        <v>24</v>
      </c>
      <c r="B15">
        <v>7.7388784085534684E-6</v>
      </c>
      <c r="C15">
        <f t="shared" si="0"/>
        <v>0.77400000000000002</v>
      </c>
      <c r="D15">
        <v>95357.785976470579</v>
      </c>
      <c r="E15">
        <v>0.68343137254901964</v>
      </c>
      <c r="F15">
        <v>11</v>
      </c>
      <c r="G15">
        <v>3</v>
      </c>
      <c r="H15">
        <v>-8</v>
      </c>
      <c r="I15" t="s">
        <v>11</v>
      </c>
    </row>
    <row r="16" spans="1:9" x14ac:dyDescent="0.3">
      <c r="A16" t="s">
        <v>25</v>
      </c>
      <c r="B16">
        <v>4.6851721423163393E-6</v>
      </c>
      <c r="C16">
        <f t="shared" si="0"/>
        <v>0.46899999999999997</v>
      </c>
      <c r="D16">
        <v>201345.12</v>
      </c>
      <c r="E16">
        <v>0.79100000000000004</v>
      </c>
      <c r="F16">
        <v>19</v>
      </c>
      <c r="G16">
        <v>1</v>
      </c>
      <c r="H16">
        <v>-18</v>
      </c>
      <c r="I16" t="s">
        <v>11</v>
      </c>
    </row>
    <row r="17" spans="1:9" x14ac:dyDescent="0.3">
      <c r="A17" t="s">
        <v>26</v>
      </c>
      <c r="B17">
        <v>7.6116161872977334E-6</v>
      </c>
      <c r="C17">
        <f t="shared" si="0"/>
        <v>0.76100000000000001</v>
      </c>
      <c r="D17">
        <v>80332.92</v>
      </c>
      <c r="E17">
        <v>0.60864583333333333</v>
      </c>
      <c r="F17">
        <v>12</v>
      </c>
      <c r="G17">
        <v>7</v>
      </c>
      <c r="H17">
        <v>-5</v>
      </c>
      <c r="I17" t="s">
        <v>13</v>
      </c>
    </row>
    <row r="18" spans="1:9" x14ac:dyDescent="0.3">
      <c r="A18" t="s">
        <v>27</v>
      </c>
      <c r="B18">
        <v>9.8207861537168077E-6</v>
      </c>
      <c r="C18">
        <f t="shared" si="0"/>
        <v>0.9820000000000001</v>
      </c>
      <c r="D18">
        <v>64967.812682926822</v>
      </c>
      <c r="E18">
        <v>0.57922764227642276</v>
      </c>
      <c r="F18">
        <v>7</v>
      </c>
      <c r="G18">
        <v>10</v>
      </c>
      <c r="H18">
        <v>3</v>
      </c>
      <c r="I18" t="s">
        <v>13</v>
      </c>
    </row>
    <row r="19" spans="1:9" x14ac:dyDescent="0.3">
      <c r="A19" t="s">
        <v>28</v>
      </c>
      <c r="B19">
        <v>9.3324406409670057E-6</v>
      </c>
      <c r="C19">
        <f t="shared" si="0"/>
        <v>0.93300000000000005</v>
      </c>
      <c r="D19">
        <v>12331.656000000001</v>
      </c>
      <c r="E19">
        <v>0.1133333333333333</v>
      </c>
      <c r="F19">
        <v>9</v>
      </c>
      <c r="G19">
        <v>19</v>
      </c>
      <c r="H19">
        <v>10</v>
      </c>
      <c r="I19" t="s">
        <v>13</v>
      </c>
    </row>
    <row r="20" spans="1:9" x14ac:dyDescent="0.3">
      <c r="A20" t="s">
        <v>29</v>
      </c>
      <c r="B20">
        <v>9.378942415281344E-6</v>
      </c>
      <c r="C20">
        <f t="shared" si="0"/>
        <v>0.93799999999999994</v>
      </c>
      <c r="D20">
        <v>60390.881999999998</v>
      </c>
      <c r="E20">
        <v>0.55333333333333345</v>
      </c>
      <c r="F20">
        <v>8</v>
      </c>
      <c r="G20">
        <v>11</v>
      </c>
      <c r="H20">
        <v>3</v>
      </c>
      <c r="I20" t="s">
        <v>13</v>
      </c>
    </row>
  </sheetData>
  <pageMargins left="0.25" right="0.25" top="0.75" bottom="0.75" header="0.3" footer="0.3"/>
  <pageSetup paperSize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E5F66-BEB8-4DE7-8D41-CC98704199A9}">
  <dimension ref="B3:I32"/>
  <sheetViews>
    <sheetView topLeftCell="C10" workbookViewId="0">
      <selection activeCell="G33" sqref="G33"/>
    </sheetView>
  </sheetViews>
  <sheetFormatPr defaultRowHeight="14.4" x14ac:dyDescent="0.3"/>
  <cols>
    <col min="2" max="2" width="14.77734375" bestFit="1" customWidth="1"/>
    <col min="3" max="3" width="27.5546875" bestFit="1" customWidth="1"/>
    <col min="4" max="4" width="22.44140625" bestFit="1" customWidth="1"/>
    <col min="5" max="5" width="23.21875" customWidth="1"/>
    <col min="6" max="6" width="15.44140625" bestFit="1" customWidth="1"/>
    <col min="7" max="7" width="41.44140625" bestFit="1" customWidth="1"/>
  </cols>
  <sheetData>
    <row r="3" spans="2:7" ht="28.8" x14ac:dyDescent="0.3">
      <c r="B3" s="2" t="s">
        <v>32</v>
      </c>
      <c r="C3" s="2" t="s">
        <v>30</v>
      </c>
      <c r="D3" s="2" t="s">
        <v>33</v>
      </c>
      <c r="E3" s="2" t="s">
        <v>36</v>
      </c>
      <c r="F3" s="2" t="s">
        <v>31</v>
      </c>
      <c r="G3" s="2" t="s">
        <v>34</v>
      </c>
    </row>
    <row r="4" spans="2:7" x14ac:dyDescent="0.3">
      <c r="B4" t="s">
        <v>8</v>
      </c>
      <c r="C4">
        <f>_xlfn.XLOOKUP(B4,data!$A$2:$A$20,data!$D$2:$D$20)</f>
        <v>33461.812628571417</v>
      </c>
      <c r="D4" s="3">
        <f>_xlfn.XLOOKUP(B4,[1]Strategic_Summary!$B$6:$B$24,[1]Strategic_Summary!$C$6:$C$24)</f>
        <v>0.63095238095238093</v>
      </c>
      <c r="E4">
        <f>_xlfn.XLOOKUP(B4,data!$A$2:$A$20,data!$C$2:$C$20)</f>
        <v>1.2850000000000001</v>
      </c>
      <c r="F4" s="4">
        <f>_xlfn.XLOOKUP(B4,[1]Sheet1!$A$2:$A$20,[1]Sheet1!$B$2:$B$20)</f>
        <v>35387824.2192</v>
      </c>
      <c r="G4" t="str">
        <f>_xlfn.XLOOKUP(B4,data!$A$2:$A$20,data!$I$2:$I$20)</f>
        <v>Underpriced - Can Increase Price</v>
      </c>
    </row>
    <row r="5" spans="2:7" x14ac:dyDescent="0.3">
      <c r="B5" t="s">
        <v>10</v>
      </c>
      <c r="C5">
        <f>_xlfn.XLOOKUP(B5,data!$A$2:$A$20,data!$D$2:$D$20)</f>
        <v>88216.542211764696</v>
      </c>
      <c r="D5" s="3">
        <f>_xlfn.XLOOKUP(B5,[1]Strategic_Summary!$B$6:$B$24,[1]Strategic_Summary!$C$6:$C$24)</f>
        <v>0</v>
      </c>
      <c r="E5">
        <f>_xlfn.XLOOKUP(B5,data!$A$2:$A$20,data!$C$2:$C$20)</f>
        <v>0.66</v>
      </c>
      <c r="F5" s="4">
        <f>_xlfn.XLOOKUP(B5,[1]Sheet1!$A$2:$A$20,[1]Sheet1!$B$2:$B$20)</f>
        <v>9405530.1216000002</v>
      </c>
      <c r="G5" t="str">
        <f>_xlfn.XLOOKUP(B5,data!$A$2:$A$20,data!$I$2:$I$20)</f>
        <v>Premium - Brand Power Strategy</v>
      </c>
    </row>
    <row r="6" spans="2:7" x14ac:dyDescent="0.3">
      <c r="B6" t="s">
        <v>12</v>
      </c>
      <c r="C6">
        <f>_xlfn.XLOOKUP(B6,data!$A$2:$A$20,data!$D$2:$D$20)</f>
        <v>58022.093371428571</v>
      </c>
      <c r="D6" s="3">
        <f>_xlfn.XLOOKUP(B6,[1]Strategic_Summary!$B$6:$B$24,[1]Strategic_Summary!$C$6:$C$24)</f>
        <v>0.26984126984126983</v>
      </c>
      <c r="E6">
        <f>_xlfn.XLOOKUP(B6,data!$A$2:$A$20,data!$C$2:$C$20)</f>
        <v>1.0010000000000001</v>
      </c>
      <c r="F6" s="4">
        <f>_xlfn.XLOOKUP(B6,[1]Sheet1!$A$2:$A$20,[1]Sheet1!$B$2:$B$20)</f>
        <v>66119835.844800003</v>
      </c>
      <c r="G6" t="str">
        <f>_xlfn.XLOOKUP(B6,data!$A$2:$A$20,data!$I$2:$I$20)</f>
        <v>Needs Repositioning</v>
      </c>
    </row>
    <row r="7" spans="2:7" x14ac:dyDescent="0.3">
      <c r="B7" t="s">
        <v>14</v>
      </c>
      <c r="C7">
        <f>_xlfn.XLOOKUP(B7,data!$A$2:$A$20,data!$D$2:$D$20)</f>
        <v>16745.7264</v>
      </c>
      <c r="D7" s="3">
        <f>_xlfn.XLOOKUP(B7,[1]Strategic_Summary!$B$6:$B$24,[1]Strategic_Summary!$C$6:$C$24)</f>
        <v>0</v>
      </c>
      <c r="E7">
        <f>_xlfn.XLOOKUP(B7,data!$A$2:$A$20,data!$C$2:$C$20)</f>
        <v>0.751</v>
      </c>
      <c r="F7" s="4">
        <f>_xlfn.XLOOKUP(B7,[1]Sheet1!$A$2:$A$20,[1]Sheet1!$B$2:$B$20)</f>
        <v>356443.7328</v>
      </c>
      <c r="G7" t="str">
        <f>_xlfn.XLOOKUP(B7,data!$A$2:$A$20,data!$I$2:$I$20)</f>
        <v>Needs Repositioning</v>
      </c>
    </row>
    <row r="8" spans="2:7" x14ac:dyDescent="0.3">
      <c r="B8" t="s">
        <v>15</v>
      </c>
      <c r="C8">
        <f>_xlfn.XLOOKUP(B8,data!$A$2:$A$20,data!$D$2:$D$20)</f>
        <v>65963.045468354438</v>
      </c>
      <c r="D8" s="3">
        <f>_xlfn.XLOOKUP(B8,[1]Strategic_Summary!$B$6:$B$24,[1]Strategic_Summary!$C$6:$C$24)</f>
        <v>0.34177215189873417</v>
      </c>
      <c r="E8">
        <f>_xlfn.XLOOKUP(B8,data!$A$2:$A$20,data!$C$2:$C$20)</f>
        <v>1.0249999999999999</v>
      </c>
      <c r="F8" s="4">
        <f>_xlfn.XLOOKUP(B8,[1]Sheet1!$A$2:$A$20,[1]Sheet1!$B$2:$B$20)</f>
        <v>134289175.3344</v>
      </c>
      <c r="G8" t="s">
        <v>35</v>
      </c>
    </row>
    <row r="9" spans="2:7" x14ac:dyDescent="0.3">
      <c r="B9" t="s">
        <v>16</v>
      </c>
      <c r="C9">
        <f>_xlfn.XLOOKUP(B9,data!$A$2:$A$20,data!$D$2:$D$20)</f>
        <v>38841.120000000003</v>
      </c>
      <c r="D9" s="3">
        <f>_xlfn.XLOOKUP(B9,[1]Strategic_Summary!$B$6:$B$24,[1]Strategic_Summary!$C$6:$C$24)</f>
        <v>1</v>
      </c>
      <c r="E9">
        <f>_xlfn.XLOOKUP(B9,data!$A$2:$A$20,data!$C$2:$C$20)</f>
        <v>1.419</v>
      </c>
      <c r="F9" s="4">
        <f>_xlfn.XLOOKUP(B9,[1]Sheet1!$A$2:$A$20,[1]Sheet1!$B$2:$B$20)</f>
        <v>1657913.76</v>
      </c>
      <c r="G9" t="str">
        <f>_xlfn.XLOOKUP(B9,data!$A$2:$A$20,data!$I$2:$I$20)</f>
        <v>Underpriced - Can Increase Price</v>
      </c>
    </row>
    <row r="10" spans="2:7" x14ac:dyDescent="0.3">
      <c r="B10" t="s">
        <v>17</v>
      </c>
      <c r="C10">
        <f>_xlfn.XLOOKUP(B10,data!$A$2:$A$20,data!$D$2:$D$20)</f>
        <v>89386.08</v>
      </c>
      <c r="D10" s="3">
        <f>_xlfn.XLOOKUP(B10,[1]Strategic_Summary!$B$6:$B$24,[1]Strategic_Summary!$C$6:$C$24)</f>
        <v>0</v>
      </c>
      <c r="E10">
        <f>_xlfn.XLOOKUP(B10,data!$A$2:$A$20,data!$C$2:$C$20)</f>
        <v>0.59199999999999997</v>
      </c>
      <c r="F10" s="4">
        <f>_xlfn.XLOOKUP(B10,[1]Sheet1!$A$2:$A$20,[1]Sheet1!$B$2:$B$20)</f>
        <v>1559718.72</v>
      </c>
      <c r="G10" t="str">
        <f>_xlfn.XLOOKUP(B10,data!$A$2:$A$20,data!$I$2:$I$20)</f>
        <v>Premium - Brand Power Strategy</v>
      </c>
    </row>
    <row r="11" spans="2:7" x14ac:dyDescent="0.3">
      <c r="B11" t="s">
        <v>18</v>
      </c>
      <c r="C11">
        <f>_xlfn.XLOOKUP(B11,data!$A$2:$A$20,data!$D$2:$D$20)</f>
        <v>54775.399680000002</v>
      </c>
      <c r="D11" s="3">
        <f>_xlfn.XLOOKUP(B11,[1]Strategic_Summary!$B$6:$B$24,[1]Strategic_Summary!$C$6:$C$24)</f>
        <v>0.31891891891891894</v>
      </c>
      <c r="E11">
        <f>_xlfn.XLOOKUP(B11,data!$A$2:$A$20,data!$C$2:$C$20)</f>
        <v>1.0820000000000001</v>
      </c>
      <c r="F11" s="4">
        <f>_xlfn.XLOOKUP(B11,[1]Sheet1!$A$2:$A$20,[1]Sheet1!$B$2:$B$20)</f>
        <v>93536773.329600006</v>
      </c>
      <c r="G11" t="str">
        <f>_xlfn.XLOOKUP(B11,data!$A$2:$A$20,data!$I$2:$I$20)</f>
        <v>Underpriced - Can Increase Price</v>
      </c>
    </row>
    <row r="12" spans="2:7" x14ac:dyDescent="0.3">
      <c r="B12" t="s">
        <v>19</v>
      </c>
      <c r="C12">
        <f>_xlfn.XLOOKUP(B12,data!$A$2:$A$20,data!$D$2:$D$20)</f>
        <v>75870.720000000001</v>
      </c>
      <c r="D12" s="3">
        <f>_xlfn.XLOOKUP(B12,[1]Strategic_Summary!$B$6:$B$24,[1]Strategic_Summary!$C$6:$C$24)</f>
        <v>0</v>
      </c>
      <c r="E12">
        <f>_xlfn.XLOOKUP(B12,data!$A$2:$A$20,data!$C$2:$C$20)</f>
        <v>0.82500000000000007</v>
      </c>
      <c r="F12" s="4">
        <f>_xlfn.XLOOKUP(B12,[1]Sheet1!$A$2:$A$20,[1]Sheet1!$B$2:$B$20)</f>
        <v>1293798.24</v>
      </c>
      <c r="G12" t="str">
        <f>_xlfn.XLOOKUP(B12,data!$A$2:$A$20,data!$I$2:$I$20)</f>
        <v>Needs Repositioning</v>
      </c>
    </row>
    <row r="13" spans="2:7" x14ac:dyDescent="0.3">
      <c r="B13" t="s">
        <v>20</v>
      </c>
      <c r="C13">
        <f>_xlfn.XLOOKUP(B13,data!$A$2:$A$20,data!$D$2:$D$20)</f>
        <v>57480.87086608696</v>
      </c>
      <c r="D13" s="3">
        <f>_xlfn.XLOOKUP(B13,[1]Strategic_Summary!$B$6:$B$24,[1]Strategic_Summary!$C$6:$C$24)</f>
        <v>0.40869565217391307</v>
      </c>
      <c r="E13">
        <f>_xlfn.XLOOKUP(B13,data!$A$2:$A$20,data!$C$2:$C$20)</f>
        <v>1.101</v>
      </c>
      <c r="F13" s="4">
        <f>_xlfn.XLOOKUP(B13,[1]Sheet1!$A$2:$A$20,[1]Sheet1!$B$2:$B$20)</f>
        <v>122218997.8608</v>
      </c>
      <c r="G13" t="str">
        <f>_xlfn.XLOOKUP(B13,data!$A$2:$A$20,data!$I$2:$I$20)</f>
        <v>Underpriced - Can Increase Price</v>
      </c>
    </row>
    <row r="14" spans="2:7" x14ac:dyDescent="0.3">
      <c r="B14" t="s">
        <v>21</v>
      </c>
      <c r="C14">
        <f>_xlfn.XLOOKUP(B14,data!$A$2:$A$20,data!$D$2:$D$20)</f>
        <v>111834.72</v>
      </c>
      <c r="D14" s="3">
        <f>_xlfn.XLOOKUP(B14,[1]Strategic_Summary!$B$6:$B$24,[1]Strategic_Summary!$C$6:$C$24)</f>
        <v>0</v>
      </c>
      <c r="E14">
        <f>_xlfn.XLOOKUP(B14,data!$A$2:$A$20,data!$C$2:$C$20)</f>
        <v>0.60899999999999999</v>
      </c>
      <c r="F14" s="4">
        <f>_xlfn.XLOOKUP(B14,[1]Sheet1!$A$2:$A$20,[1]Sheet1!$B$2:$B$20)</f>
        <v>2103547.6800000002</v>
      </c>
      <c r="G14" t="str">
        <f>_xlfn.XLOOKUP(B14,data!$A$2:$A$20,data!$I$2:$I$20)</f>
        <v>Premium - Brand Power Strategy</v>
      </c>
    </row>
    <row r="15" spans="2:7" x14ac:dyDescent="0.3">
      <c r="B15" t="s">
        <v>22</v>
      </c>
      <c r="C15">
        <f>_xlfn.XLOOKUP(B15,data!$A$2:$A$20,data!$D$2:$D$20)</f>
        <v>15717.6</v>
      </c>
      <c r="D15" s="3">
        <f>_xlfn.XLOOKUP(B15,[1]Strategic_Summary!$B$6:$B$24,[1]Strategic_Summary!$C$6:$C$24)</f>
        <v>0</v>
      </c>
      <c r="E15">
        <f>_xlfn.XLOOKUP(B15,data!$A$2:$A$20,data!$C$2:$C$20)</f>
        <v>0.74099999999999999</v>
      </c>
      <c r="F15" s="4">
        <f>_xlfn.XLOOKUP(B15,[1]Sheet1!$A$2:$A$20,[1]Sheet1!$B$2:$B$20)</f>
        <v>796749.12</v>
      </c>
      <c r="G15" t="str">
        <f>_xlfn.XLOOKUP(B15,data!$A$2:$A$20,data!$I$2:$I$20)</f>
        <v>Needs Repositioning</v>
      </c>
    </row>
    <row r="16" spans="2:7" x14ac:dyDescent="0.3">
      <c r="B16" t="s">
        <v>23</v>
      </c>
      <c r="C16">
        <f>_xlfn.XLOOKUP(B16,data!$A$2:$A$20,data!$D$2:$D$20)</f>
        <v>85903.788</v>
      </c>
      <c r="D16" s="3">
        <f>_xlfn.XLOOKUP(B16,[1]Strategic_Summary!$B$6:$B$24,[1]Strategic_Summary!$C$6:$C$24)</f>
        <v>0</v>
      </c>
      <c r="E16">
        <f>_xlfn.XLOOKUP(B16,data!$A$2:$A$20,data!$C$2:$C$20)</f>
        <v>0.73399999999999999</v>
      </c>
      <c r="F16" s="4">
        <f>_xlfn.XLOOKUP(B16,[1]Sheet1!$A$2:$A$20,[1]Sheet1!$B$2:$B$20)</f>
        <v>3572208.216</v>
      </c>
      <c r="G16" t="str">
        <f>_xlfn.XLOOKUP(B16,data!$A$2:$A$20,data!$I$2:$I$20)</f>
        <v>Needs Repositioning</v>
      </c>
    </row>
    <row r="17" spans="2:9" x14ac:dyDescent="0.3">
      <c r="B17" t="s">
        <v>24</v>
      </c>
      <c r="C17">
        <f>_xlfn.XLOOKUP(B17,data!$A$2:$A$20,data!$D$2:$D$20)</f>
        <v>95357.785976470579</v>
      </c>
      <c r="D17" s="3">
        <f>_xlfn.XLOOKUP(B17,[1]Strategic_Summary!$B$6:$B$24,[1]Strategic_Summary!$C$6:$C$24)</f>
        <v>0</v>
      </c>
      <c r="E17">
        <f>_xlfn.XLOOKUP(B17,data!$A$2:$A$20,data!$C$2:$C$20)</f>
        <v>0.77400000000000002</v>
      </c>
      <c r="F17" s="4">
        <f>_xlfn.XLOOKUP(B17,[1]Sheet1!$A$2:$A$20,[1]Sheet1!$B$2:$B$20)</f>
        <v>23137373.332800001</v>
      </c>
      <c r="G17" t="str">
        <f>_xlfn.XLOOKUP(B17,data!$A$2:$A$20,data!$I$2:$I$20)</f>
        <v>Premium - Brand Power Strategy</v>
      </c>
    </row>
    <row r="18" spans="2:9" x14ac:dyDescent="0.3">
      <c r="B18" t="s">
        <v>25</v>
      </c>
      <c r="C18">
        <f>_xlfn.XLOOKUP(B18,data!$A$2:$A$20,data!$D$2:$D$20)</f>
        <v>201345.12</v>
      </c>
      <c r="D18" s="3">
        <f>_xlfn.XLOOKUP(B18,[1]Strategic_Summary!$B$6:$B$24,[1]Strategic_Summary!$C$6:$C$24)</f>
        <v>0</v>
      </c>
      <c r="E18">
        <f>_xlfn.XLOOKUP(B18,data!$A$2:$A$20,data!$C$2:$C$20)</f>
        <v>0.46899999999999997</v>
      </c>
      <c r="F18" s="4">
        <f>_xlfn.XLOOKUP(B18,[1]Sheet1!$A$2:$A$20,[1]Sheet1!$B$2:$B$20)</f>
        <v>4085297.28</v>
      </c>
      <c r="G18" t="str">
        <f>_xlfn.XLOOKUP(B18,data!$A$2:$A$20,data!$I$2:$I$20)</f>
        <v>Premium - Brand Power Strategy</v>
      </c>
    </row>
    <row r="19" spans="2:9" x14ac:dyDescent="0.3">
      <c r="B19" t="s">
        <v>26</v>
      </c>
      <c r="C19">
        <f>_xlfn.XLOOKUP(B19,data!$A$2:$A$20,data!$D$2:$D$20)</f>
        <v>80332.92</v>
      </c>
      <c r="D19" s="3">
        <f>_xlfn.XLOOKUP(B19,[1]Strategic_Summary!$B$6:$B$24,[1]Strategic_Summary!$C$6:$C$24)</f>
        <v>0</v>
      </c>
      <c r="E19">
        <f>_xlfn.XLOOKUP(B19,data!$A$2:$A$20,data!$C$2:$C$20)</f>
        <v>0.76100000000000001</v>
      </c>
      <c r="F19" s="4">
        <f>_xlfn.XLOOKUP(B19,[1]Sheet1!$A$2:$A$20,[1]Sheet1!$B$2:$B$20)</f>
        <v>4776552</v>
      </c>
      <c r="G19" t="str">
        <f>_xlfn.XLOOKUP(B19,data!$A$2:$A$20,data!$I$2:$I$20)</f>
        <v>Needs Repositioning</v>
      </c>
    </row>
    <row r="20" spans="2:9" x14ac:dyDescent="0.3">
      <c r="B20" t="s">
        <v>27</v>
      </c>
      <c r="C20">
        <f>_xlfn.XLOOKUP(B20,data!$A$2:$A$20,data!$D$2:$D$20)</f>
        <v>64967.812682926822</v>
      </c>
      <c r="D20" s="3">
        <f>_xlfn.XLOOKUP(B20,[1]Strategic_Summary!$B$6:$B$24,[1]Strategic_Summary!$C$6:$C$24)</f>
        <v>0.24390243902439024</v>
      </c>
      <c r="E20">
        <f>_xlfn.XLOOKUP(B20,data!$A$2:$A$20,data!$C$2:$C$20)</f>
        <v>0.9820000000000001</v>
      </c>
      <c r="F20" s="4">
        <f>_xlfn.XLOOKUP(B20,[1]Sheet1!$A$2:$A$20,[1]Sheet1!$B$2:$B$20)</f>
        <v>23699157.120000001</v>
      </c>
      <c r="G20" t="str">
        <f>_xlfn.XLOOKUP(B20,data!$A$2:$A$20,data!$I$2:$I$20)</f>
        <v>Needs Repositioning</v>
      </c>
    </row>
    <row r="21" spans="2:9" x14ac:dyDescent="0.3">
      <c r="B21" t="s">
        <v>28</v>
      </c>
      <c r="C21">
        <f>_xlfn.XLOOKUP(B21,data!$A$2:$A$20,data!$D$2:$D$20)</f>
        <v>12331.656000000001</v>
      </c>
      <c r="D21" s="3">
        <f>_xlfn.XLOOKUP(B21,[1]Strategic_Summary!$B$6:$B$24,[1]Strategic_Summary!$C$6:$C$24)</f>
        <v>0</v>
      </c>
      <c r="E21">
        <f>_xlfn.XLOOKUP(B21,data!$A$2:$A$20,data!$C$2:$C$20)</f>
        <v>0.93300000000000005</v>
      </c>
      <c r="F21" s="4">
        <f>_xlfn.XLOOKUP(B21,[1]Sheet1!$A$2:$A$20,[1]Sheet1!$B$2:$B$20)</f>
        <v>218927.52</v>
      </c>
      <c r="G21" t="str">
        <f>_xlfn.XLOOKUP(B21,data!$A$2:$A$20,data!$I$2:$I$20)</f>
        <v>Needs Repositioning</v>
      </c>
    </row>
    <row r="22" spans="2:9" x14ac:dyDescent="0.3">
      <c r="B22" t="s">
        <v>29</v>
      </c>
      <c r="C22">
        <f>_xlfn.XLOOKUP(B22,data!$A$2:$A$20,data!$D$2:$D$20)</f>
        <v>60390.881999999998</v>
      </c>
      <c r="D22" s="3">
        <f>_xlfn.XLOOKUP(B22,[1]Strategic_Summary!$B$6:$B$24,[1]Strategic_Summary!$C$6:$C$24)</f>
        <v>0</v>
      </c>
      <c r="E22">
        <f>_xlfn.XLOOKUP(B22,data!$A$2:$A$20,data!$C$2:$C$20)</f>
        <v>0.93799999999999994</v>
      </c>
      <c r="F22" s="4">
        <f>_xlfn.XLOOKUP(B22,[1]Sheet1!$A$2:$A$20,[1]Sheet1!$B$2:$B$20)</f>
        <v>2177899.92</v>
      </c>
      <c r="G22" t="str">
        <f>_xlfn.XLOOKUP(B22,data!$A$2:$A$20,data!$I$2:$I$20)</f>
        <v>Needs Repositioning</v>
      </c>
    </row>
    <row r="23" spans="2:9" x14ac:dyDescent="0.3">
      <c r="B23" t="s">
        <v>37</v>
      </c>
      <c r="C23">
        <f>AVERAGE(C4:C22)</f>
        <v>68786.615541347535</v>
      </c>
      <c r="F23" s="4">
        <f t="shared" ref="F23" si="0">AVERAGE(F4:F22)</f>
        <v>27915459.123789478</v>
      </c>
    </row>
    <row r="26" spans="2:9" x14ac:dyDescent="0.3">
      <c r="C26" s="5" t="s">
        <v>38</v>
      </c>
      <c r="D26" s="6"/>
      <c r="E26" s="10"/>
      <c r="F26" s="5" t="s">
        <v>39</v>
      </c>
      <c r="H26" s="11" t="s">
        <v>40</v>
      </c>
      <c r="I26" s="11" t="s">
        <v>41</v>
      </c>
    </row>
    <row r="27" spans="2:9" x14ac:dyDescent="0.3">
      <c r="C27" s="5">
        <f>'KPI Summary'!C23</f>
        <v>68786.615541347535</v>
      </c>
      <c r="D27" s="8"/>
      <c r="E27" s="7"/>
      <c r="F27" s="5">
        <v>0</v>
      </c>
      <c r="H27" s="11">
        <v>0</v>
      </c>
      <c r="I27" s="11">
        <f>'KPI Summary'!$F$23</f>
        <v>27915459.123789478</v>
      </c>
    </row>
    <row r="28" spans="2:9" x14ac:dyDescent="0.3">
      <c r="C28" s="5">
        <f>'KPI Summary'!C23</f>
        <v>68786.615541347535</v>
      </c>
      <c r="D28" s="8"/>
      <c r="E28" s="7"/>
      <c r="F28" s="5">
        <f>MAX('KPI Summary'!F4:F22)</f>
        <v>134289175.3344</v>
      </c>
      <c r="H28" s="11">
        <f>MAX('KPI Summary'!C4:C22)</f>
        <v>201345.12</v>
      </c>
      <c r="I28" s="11">
        <f>'KPI Summary'!$F$23</f>
        <v>27915459.123789478</v>
      </c>
    </row>
    <row r="32" spans="2:9" x14ac:dyDescent="0.3">
      <c r="D32" s="9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964FC-EEE9-47D2-9817-24B68AB4D6F7}">
  <dimension ref="A1"/>
  <sheetViews>
    <sheetView showGridLines="0" tabSelected="1" workbookViewId="0">
      <selection activeCell="E1" sqref="E1"/>
    </sheetView>
  </sheetViews>
  <sheetFormatPr defaultRowHeight="14.4" x14ac:dyDescent="0.3"/>
  <cols>
    <col min="8" max="8" width="12" bestFit="1" customWidth="1"/>
    <col min="11" max="11" width="11" bestFit="1" customWidth="1"/>
  </cols>
  <sheetData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FDB24-17E1-4EF5-A249-1F829527EB3E}">
  <dimension ref="B2:M37"/>
  <sheetViews>
    <sheetView showGridLines="0" workbookViewId="0">
      <selection activeCell="P8" sqref="P8"/>
    </sheetView>
  </sheetViews>
  <sheetFormatPr defaultRowHeight="14.4" x14ac:dyDescent="0.3"/>
  <cols>
    <col min="1" max="9" width="8.88671875" style="13"/>
    <col min="10" max="10" width="21.88671875" style="13" customWidth="1"/>
    <col min="11" max="16384" width="8.88671875" style="13"/>
  </cols>
  <sheetData>
    <row r="2" spans="2:13" ht="15" thickBot="1" x14ac:dyDescent="0.35"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2:13" ht="18" x14ac:dyDescent="0.3">
      <c r="B3" s="12"/>
      <c r="C3" s="26" t="s">
        <v>42</v>
      </c>
      <c r="D3" s="27"/>
      <c r="E3" s="27"/>
      <c r="F3" s="27"/>
      <c r="G3" s="27"/>
      <c r="H3" s="27"/>
      <c r="I3" s="27"/>
      <c r="J3" s="27"/>
      <c r="K3" s="27"/>
      <c r="L3" s="27"/>
      <c r="M3" s="28"/>
    </row>
    <row r="4" spans="2:13" x14ac:dyDescent="0.3">
      <c r="B4" s="12"/>
      <c r="C4" s="29"/>
      <c r="D4" s="15"/>
      <c r="E4" s="15"/>
      <c r="F4" s="15"/>
      <c r="G4" s="15"/>
      <c r="H4" s="15"/>
      <c r="I4" s="15"/>
      <c r="J4" s="15"/>
      <c r="K4" s="15"/>
      <c r="L4" s="15"/>
      <c r="M4" s="30"/>
    </row>
    <row r="5" spans="2:13" x14ac:dyDescent="0.3">
      <c r="B5" s="12"/>
      <c r="C5" s="31" t="s">
        <v>64</v>
      </c>
      <c r="D5" s="16"/>
      <c r="E5" s="16"/>
      <c r="F5" s="16"/>
      <c r="G5" s="16"/>
      <c r="H5" s="16"/>
      <c r="I5" s="16"/>
      <c r="J5" s="16"/>
      <c r="K5" s="16"/>
      <c r="L5" s="16"/>
      <c r="M5" s="32"/>
    </row>
    <row r="6" spans="2:13" x14ac:dyDescent="0.3">
      <c r="B6" s="12"/>
      <c r="C6" s="21" t="s">
        <v>43</v>
      </c>
      <c r="D6" s="14"/>
      <c r="E6" s="14"/>
      <c r="F6" s="14"/>
      <c r="G6" s="14"/>
      <c r="H6" s="14"/>
      <c r="I6" s="14"/>
      <c r="J6" s="14"/>
      <c r="K6" s="14"/>
      <c r="L6" s="14"/>
      <c r="M6" s="22"/>
    </row>
    <row r="7" spans="2:13" x14ac:dyDescent="0.3">
      <c r="B7" s="12"/>
      <c r="C7" s="21" t="s">
        <v>44</v>
      </c>
      <c r="D7" s="14"/>
      <c r="E7" s="14"/>
      <c r="F7" s="14"/>
      <c r="G7" s="14"/>
      <c r="H7" s="14"/>
      <c r="I7" s="14"/>
      <c r="J7" s="14"/>
      <c r="K7" s="14"/>
      <c r="L7" s="14"/>
      <c r="M7" s="22"/>
    </row>
    <row r="8" spans="2:13" x14ac:dyDescent="0.3">
      <c r="B8" s="12"/>
      <c r="C8" s="21"/>
      <c r="D8" s="14"/>
      <c r="E8" s="14"/>
      <c r="F8" s="14"/>
      <c r="G8" s="14"/>
      <c r="H8" s="14"/>
      <c r="I8" s="14"/>
      <c r="J8" s="14"/>
      <c r="K8" s="14"/>
      <c r="L8" s="14"/>
      <c r="M8" s="22"/>
    </row>
    <row r="9" spans="2:13" x14ac:dyDescent="0.3">
      <c r="B9" s="12"/>
      <c r="C9" s="21" t="s">
        <v>65</v>
      </c>
      <c r="D9" s="14"/>
      <c r="E9" s="14"/>
      <c r="F9" s="14"/>
      <c r="G9" s="14"/>
      <c r="H9" s="14"/>
      <c r="I9" s="14"/>
      <c r="J9" s="14"/>
      <c r="K9" s="14"/>
      <c r="L9" s="14"/>
      <c r="M9" s="22"/>
    </row>
    <row r="10" spans="2:13" x14ac:dyDescent="0.3">
      <c r="B10" s="12"/>
      <c r="C10" s="21" t="s">
        <v>45</v>
      </c>
      <c r="D10" s="14"/>
      <c r="E10" s="14"/>
      <c r="F10" s="14"/>
      <c r="G10" s="14"/>
      <c r="H10" s="14"/>
      <c r="I10" s="14"/>
      <c r="J10" s="14"/>
      <c r="K10" s="14"/>
      <c r="L10" s="14"/>
      <c r="M10" s="22"/>
    </row>
    <row r="11" spans="2:13" x14ac:dyDescent="0.3">
      <c r="B11" s="12"/>
      <c r="C11" s="21" t="s">
        <v>46</v>
      </c>
      <c r="D11" s="14"/>
      <c r="E11" s="14"/>
      <c r="F11" s="14"/>
      <c r="G11" s="14"/>
      <c r="H11" s="14"/>
      <c r="I11" s="14"/>
      <c r="J11" s="14"/>
      <c r="K11" s="14"/>
      <c r="L11" s="14"/>
      <c r="M11" s="22"/>
    </row>
    <row r="12" spans="2:13" x14ac:dyDescent="0.3">
      <c r="B12" s="12"/>
      <c r="C12" s="21"/>
      <c r="D12" s="14"/>
      <c r="E12" s="14"/>
      <c r="F12" s="14"/>
      <c r="G12" s="14"/>
      <c r="H12" s="14"/>
      <c r="I12" s="14"/>
      <c r="J12" s="14"/>
      <c r="K12" s="14"/>
      <c r="L12" s="14"/>
      <c r="M12" s="22"/>
    </row>
    <row r="13" spans="2:13" x14ac:dyDescent="0.3">
      <c r="B13" s="12"/>
      <c r="C13" s="21" t="s">
        <v>66</v>
      </c>
      <c r="D13" s="14"/>
      <c r="E13" s="14"/>
      <c r="F13" s="14"/>
      <c r="G13" s="14"/>
      <c r="H13" s="14"/>
      <c r="I13" s="14"/>
      <c r="J13" s="14"/>
      <c r="K13" s="14"/>
      <c r="L13" s="14"/>
      <c r="M13" s="22"/>
    </row>
    <row r="14" spans="2:13" x14ac:dyDescent="0.3">
      <c r="B14" s="12"/>
      <c r="C14" s="21" t="s">
        <v>47</v>
      </c>
      <c r="D14" s="14"/>
      <c r="E14" s="14"/>
      <c r="F14" s="14"/>
      <c r="G14" s="14"/>
      <c r="H14" s="14"/>
      <c r="I14" s="14"/>
      <c r="J14" s="14"/>
      <c r="K14" s="14"/>
      <c r="L14" s="14"/>
      <c r="M14" s="22"/>
    </row>
    <row r="15" spans="2:13" x14ac:dyDescent="0.3">
      <c r="B15" s="12"/>
      <c r="C15" s="21" t="s">
        <v>48</v>
      </c>
      <c r="D15" s="14"/>
      <c r="E15" s="14"/>
      <c r="F15" s="14"/>
      <c r="G15" s="14"/>
      <c r="H15" s="14"/>
      <c r="I15" s="14"/>
      <c r="J15" s="14"/>
      <c r="K15" s="14"/>
      <c r="L15" s="14"/>
      <c r="M15" s="22"/>
    </row>
    <row r="16" spans="2:13" x14ac:dyDescent="0.3">
      <c r="B16" s="12"/>
      <c r="C16" s="21" t="s">
        <v>49</v>
      </c>
      <c r="D16" s="14"/>
      <c r="E16" s="14"/>
      <c r="F16" s="14"/>
      <c r="G16" s="14"/>
      <c r="H16" s="14"/>
      <c r="I16" s="14"/>
      <c r="J16" s="14"/>
      <c r="K16" s="14"/>
      <c r="L16" s="14"/>
      <c r="M16" s="22"/>
    </row>
    <row r="17" spans="2:13" x14ac:dyDescent="0.3">
      <c r="B17" s="12"/>
      <c r="C17" s="21"/>
      <c r="D17" s="14"/>
      <c r="E17" s="14"/>
      <c r="F17" s="14"/>
      <c r="G17" s="14"/>
      <c r="H17" s="14"/>
      <c r="I17" s="14"/>
      <c r="J17" s="14"/>
      <c r="K17" s="14"/>
      <c r="L17" s="14"/>
      <c r="M17" s="22"/>
    </row>
    <row r="18" spans="2:13" x14ac:dyDescent="0.3">
      <c r="B18" s="12"/>
      <c r="C18" s="21" t="s">
        <v>67</v>
      </c>
      <c r="D18" s="14"/>
      <c r="E18" s="14"/>
      <c r="F18" s="14"/>
      <c r="G18" s="14"/>
      <c r="H18" s="14"/>
      <c r="I18" s="14"/>
      <c r="J18" s="14"/>
      <c r="K18" s="14"/>
      <c r="L18" s="14"/>
      <c r="M18" s="22"/>
    </row>
    <row r="19" spans="2:13" x14ac:dyDescent="0.3">
      <c r="B19" s="12"/>
      <c r="C19" s="21" t="s">
        <v>50</v>
      </c>
      <c r="D19" s="14"/>
      <c r="E19" s="14"/>
      <c r="F19" s="14"/>
      <c r="G19" s="14"/>
      <c r="H19" s="14"/>
      <c r="I19" s="14"/>
      <c r="J19" s="14"/>
      <c r="K19" s="14"/>
      <c r="L19" s="14"/>
      <c r="M19" s="22"/>
    </row>
    <row r="20" spans="2:13" x14ac:dyDescent="0.3">
      <c r="B20" s="12"/>
      <c r="C20" s="21" t="s">
        <v>51</v>
      </c>
      <c r="D20" s="14"/>
      <c r="E20" s="14"/>
      <c r="F20" s="14"/>
      <c r="G20" s="14"/>
      <c r="H20" s="14"/>
      <c r="I20" s="14"/>
      <c r="J20" s="14"/>
      <c r="K20" s="14"/>
      <c r="L20" s="14"/>
      <c r="M20" s="22"/>
    </row>
    <row r="21" spans="2:13" x14ac:dyDescent="0.3">
      <c r="B21" s="12"/>
      <c r="C21" s="21"/>
      <c r="D21" s="14"/>
      <c r="E21" s="14"/>
      <c r="F21" s="14"/>
      <c r="G21" s="14"/>
      <c r="H21" s="14"/>
      <c r="I21" s="14"/>
      <c r="J21" s="14"/>
      <c r="K21" s="14"/>
      <c r="L21" s="14"/>
      <c r="M21" s="22"/>
    </row>
    <row r="22" spans="2:13" x14ac:dyDescent="0.3">
      <c r="C22" s="21" t="s">
        <v>55</v>
      </c>
      <c r="D22" s="14"/>
      <c r="E22" s="14"/>
      <c r="F22" s="14"/>
      <c r="G22" s="14"/>
      <c r="H22" s="14"/>
      <c r="I22" s="14"/>
      <c r="J22" s="14"/>
      <c r="K22" s="14"/>
      <c r="L22" s="14"/>
      <c r="M22" s="22"/>
    </row>
    <row r="23" spans="2:13" x14ac:dyDescent="0.3">
      <c r="C23" s="21" t="s">
        <v>52</v>
      </c>
      <c r="D23" s="14"/>
      <c r="E23" s="14"/>
      <c r="F23" s="14"/>
      <c r="G23" s="14"/>
      <c r="H23" s="14"/>
      <c r="I23" s="14"/>
      <c r="J23" s="14"/>
      <c r="K23" s="14"/>
      <c r="L23" s="14"/>
      <c r="M23" s="22"/>
    </row>
    <row r="24" spans="2:13" x14ac:dyDescent="0.3">
      <c r="C24" s="21" t="s">
        <v>53</v>
      </c>
      <c r="D24" s="14"/>
      <c r="E24" s="14"/>
      <c r="F24" s="14"/>
      <c r="G24" s="14"/>
      <c r="H24" s="14"/>
      <c r="I24" s="14"/>
      <c r="J24" s="14"/>
      <c r="K24" s="14"/>
      <c r="L24" s="14"/>
      <c r="M24" s="22"/>
    </row>
    <row r="25" spans="2:13" x14ac:dyDescent="0.3">
      <c r="C25" s="21" t="s">
        <v>54</v>
      </c>
      <c r="D25" s="14"/>
      <c r="E25" s="14"/>
      <c r="F25" s="14"/>
      <c r="G25" s="14"/>
      <c r="H25" s="14"/>
      <c r="I25" s="14"/>
      <c r="J25" s="14"/>
      <c r="K25" s="14"/>
      <c r="L25" s="14"/>
      <c r="M25" s="22"/>
    </row>
    <row r="26" spans="2:13" x14ac:dyDescent="0.3">
      <c r="C26" s="21"/>
      <c r="D26" s="14"/>
      <c r="E26" s="14"/>
      <c r="F26" s="14"/>
      <c r="G26" s="14"/>
      <c r="H26" s="14"/>
      <c r="I26" s="14"/>
      <c r="J26" s="14"/>
      <c r="K26" s="14"/>
      <c r="L26" s="14"/>
      <c r="M26" s="22"/>
    </row>
    <row r="27" spans="2:13" x14ac:dyDescent="0.3">
      <c r="C27" s="21" t="s">
        <v>68</v>
      </c>
      <c r="D27" s="14"/>
      <c r="E27" s="14"/>
      <c r="F27" s="14"/>
      <c r="G27" s="14"/>
      <c r="H27" s="14"/>
      <c r="I27" s="14"/>
      <c r="J27" s="14"/>
      <c r="K27" s="14"/>
      <c r="L27" s="14"/>
      <c r="M27" s="22"/>
    </row>
    <row r="28" spans="2:13" x14ac:dyDescent="0.3">
      <c r="C28" s="21" t="s">
        <v>56</v>
      </c>
      <c r="D28" s="14"/>
      <c r="E28" s="14"/>
      <c r="F28" s="14"/>
      <c r="G28" s="14"/>
      <c r="H28" s="14"/>
      <c r="I28" s="14"/>
      <c r="J28" s="14"/>
      <c r="K28" s="14"/>
      <c r="L28" s="14"/>
      <c r="M28" s="22"/>
    </row>
    <row r="29" spans="2:13" x14ac:dyDescent="0.3">
      <c r="C29" s="33" t="s">
        <v>58</v>
      </c>
      <c r="D29" s="14"/>
      <c r="E29" s="14"/>
      <c r="F29" s="14"/>
      <c r="G29" s="14"/>
      <c r="H29" s="14"/>
      <c r="I29" s="14"/>
      <c r="J29" s="14"/>
      <c r="K29" s="14"/>
      <c r="L29" s="14"/>
      <c r="M29" s="22"/>
    </row>
    <row r="30" spans="2:13" x14ac:dyDescent="0.3">
      <c r="C30" s="21" t="s">
        <v>57</v>
      </c>
      <c r="D30" s="14"/>
      <c r="E30" s="14"/>
      <c r="F30" s="14"/>
      <c r="G30" s="14"/>
      <c r="H30" s="14"/>
      <c r="I30" s="14"/>
      <c r="J30" s="14"/>
      <c r="K30" s="14"/>
      <c r="L30" s="14"/>
      <c r="M30" s="22"/>
    </row>
    <row r="31" spans="2:13" x14ac:dyDescent="0.3">
      <c r="C31" s="33" t="s">
        <v>59</v>
      </c>
      <c r="D31" s="14"/>
      <c r="E31" s="14"/>
      <c r="F31" s="14"/>
      <c r="G31" s="14"/>
      <c r="H31" s="14"/>
      <c r="I31" s="14"/>
      <c r="J31" s="14"/>
      <c r="K31" s="14"/>
      <c r="L31" s="14"/>
      <c r="M31" s="22"/>
    </row>
    <row r="32" spans="2:13" ht="15" thickBot="1" x14ac:dyDescent="0.35">
      <c r="C32" s="34"/>
      <c r="D32" s="17"/>
      <c r="E32" s="17"/>
      <c r="F32" s="17"/>
      <c r="G32" s="17"/>
      <c r="H32" s="17"/>
      <c r="I32" s="17"/>
      <c r="J32" s="17"/>
      <c r="K32" s="17"/>
      <c r="L32" s="17"/>
      <c r="M32" s="35"/>
    </row>
    <row r="33" spans="3:13" x14ac:dyDescent="0.3">
      <c r="C33" s="18" t="s">
        <v>60</v>
      </c>
      <c r="D33" s="19"/>
      <c r="E33" s="19"/>
      <c r="F33" s="19"/>
      <c r="G33" s="19"/>
      <c r="H33" s="19"/>
      <c r="I33" s="19"/>
      <c r="J33" s="19"/>
      <c r="K33" s="19"/>
      <c r="L33" s="19"/>
      <c r="M33" s="20"/>
    </row>
    <row r="34" spans="3:13" x14ac:dyDescent="0.3">
      <c r="C34" s="21" t="s">
        <v>61</v>
      </c>
      <c r="D34" s="14"/>
      <c r="E34" s="14"/>
      <c r="F34" s="14"/>
      <c r="G34" s="14"/>
      <c r="H34" s="14"/>
      <c r="I34" s="14"/>
      <c r="J34" s="14"/>
      <c r="K34" s="14"/>
      <c r="L34" s="14"/>
      <c r="M34" s="22"/>
    </row>
    <row r="35" spans="3:13" x14ac:dyDescent="0.3">
      <c r="C35" s="21" t="s">
        <v>62</v>
      </c>
      <c r="D35" s="14"/>
      <c r="E35" s="14"/>
      <c r="F35" s="14"/>
      <c r="G35" s="14"/>
      <c r="H35" s="14"/>
      <c r="I35" s="14"/>
      <c r="J35" s="14"/>
      <c r="K35" s="14"/>
      <c r="L35" s="14"/>
      <c r="M35" s="22"/>
    </row>
    <row r="36" spans="3:13" ht="15" thickBot="1" x14ac:dyDescent="0.35">
      <c r="C36" s="23" t="s">
        <v>63</v>
      </c>
      <c r="D36" s="24"/>
      <c r="E36" s="24"/>
      <c r="F36" s="24"/>
      <c r="G36" s="24"/>
      <c r="H36" s="24"/>
      <c r="I36" s="24"/>
      <c r="J36" s="24"/>
      <c r="K36" s="24"/>
      <c r="L36" s="24"/>
      <c r="M36" s="25"/>
    </row>
    <row r="37" spans="3:13" ht="15" thickBot="1" x14ac:dyDescent="0.35">
      <c r="C37" s="36"/>
      <c r="D37" s="37"/>
      <c r="E37" s="37"/>
      <c r="F37" s="37"/>
      <c r="G37" s="37"/>
      <c r="H37" s="37"/>
      <c r="I37" s="37"/>
      <c r="J37" s="37"/>
      <c r="K37" s="37"/>
      <c r="L37" s="37"/>
      <c r="M37" s="38"/>
    </row>
  </sheetData>
  <mergeCells count="35">
    <mergeCell ref="C33:M33"/>
    <mergeCell ref="C34:M34"/>
    <mergeCell ref="C35:M35"/>
    <mergeCell ref="C36:M36"/>
    <mergeCell ref="C37:M37"/>
    <mergeCell ref="C29:M29"/>
    <mergeCell ref="C25:M25"/>
    <mergeCell ref="C26:M26"/>
    <mergeCell ref="C27:M27"/>
    <mergeCell ref="C28:M28"/>
    <mergeCell ref="C30:M30"/>
    <mergeCell ref="C14:M14"/>
    <mergeCell ref="C15:M15"/>
    <mergeCell ref="C16:M16"/>
    <mergeCell ref="C17:M17"/>
    <mergeCell ref="C18:M18"/>
    <mergeCell ref="C19:M19"/>
    <mergeCell ref="C6:M6"/>
    <mergeCell ref="C7:M7"/>
    <mergeCell ref="C9:M9"/>
    <mergeCell ref="C8:M8"/>
    <mergeCell ref="C31:M31"/>
    <mergeCell ref="C32:M32"/>
    <mergeCell ref="C21:M21"/>
    <mergeCell ref="C22:M22"/>
    <mergeCell ref="C23:M23"/>
    <mergeCell ref="C24:M24"/>
    <mergeCell ref="C20:M20"/>
    <mergeCell ref="C10:M10"/>
    <mergeCell ref="C11:M11"/>
    <mergeCell ref="C12:M12"/>
    <mergeCell ref="C13:M13"/>
    <mergeCell ref="C3:M3"/>
    <mergeCell ref="C4:M4"/>
    <mergeCell ref="C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KPI Summary</vt:lpstr>
      <vt:lpstr>Strategic Quadrant Chart</vt:lpstr>
      <vt:lpstr>Executive_Conclusion</vt:lpstr>
      <vt:lpstr>pricing_strategy_Table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kedar pawar</cp:lastModifiedBy>
  <cp:lastPrinted>2026-02-26T16:29:16Z</cp:lastPrinted>
  <dcterms:created xsi:type="dcterms:W3CDTF">2026-02-26T13:21:56Z</dcterms:created>
  <dcterms:modified xsi:type="dcterms:W3CDTF">2026-02-26T16:41:21Z</dcterms:modified>
</cp:coreProperties>
</file>